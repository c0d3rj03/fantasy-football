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5"/>
    <sheet state="visible" name="W4,W8" sheetId="2" r:id="rId6"/>
    <sheet state="visible" name="W5,W9" sheetId="3" r:id="rId7"/>
    <sheet state="visible" name="W12" sheetId="4" r:id="rId8"/>
    <sheet state="visible" name="Postseason" sheetId="5" r:id="rId9"/>
    <sheet state="visible" name="EndOfYear" sheetId="6" r:id="rId10"/>
  </sheets>
  <definedNames/>
  <calcPr/>
</workbook>
</file>

<file path=xl/sharedStrings.xml><?xml version="1.0" encoding="utf-8"?>
<sst xmlns="http://schemas.openxmlformats.org/spreadsheetml/2006/main" count="138" uniqueCount="118">
  <si>
    <t>Do this after results of the old Quarter has ended (Week 4 and Week 8 on Tuesday)</t>
  </si>
  <si>
    <t>Update next quarter schedule</t>
  </si>
  <si>
    <t>Things to do each week</t>
  </si>
  <si>
    <t>https://docs.google.com/spreadsheets/d/1uK8B9z7aNm_76xvVx6hdwaOw6SYtwTA9wrKHrvW9VYc/edit?gid=226805093#gid=226805093</t>
  </si>
  <si>
    <t>Do this at the end of the regular season (Week 12)</t>
  </si>
  <si>
    <r>
      <rPr>
        <rFont val="Arial"/>
        <b/>
        <color theme="1"/>
      </rPr>
      <t xml:space="preserve">Do this </t>
    </r>
    <r>
      <rPr>
        <rFont val="Arial"/>
        <b/>
        <color theme="1"/>
        <u/>
      </rPr>
      <t xml:space="preserve">after </t>
    </r>
    <r>
      <rPr>
        <rFont val="Arial"/>
        <b/>
        <color theme="1"/>
      </rPr>
      <t>results of the new Quarter (Week 5 and Week 9 on Tuesday) have been recorded</t>
    </r>
  </si>
  <si>
    <r>
      <rPr/>
      <t xml:space="preserve">Open </t>
    </r>
    <r>
      <rPr>
        <color rgb="FF1155CC"/>
        <u/>
      </rPr>
      <t>PBR Results &amp; Standings</t>
    </r>
    <r>
      <rPr/>
      <t xml:space="preserve"> - confirm week's results correctly tabulated</t>
    </r>
  </si>
  <si>
    <t>The Victory Points should be added as usual (see Weekly)</t>
  </si>
  <si>
    <t>Perform the Relegation/Promotion changes. Reassign divisions</t>
  </si>
  <si>
    <t>https://www42.myfantasyleague.com/2024/csetup?L=63213&amp;C=DIVCONF</t>
  </si>
  <si>
    <t>Need to reset each teams WLT Record and Victory Points from last quarter</t>
  </si>
  <si>
    <t>While keeping this past week's WLT and VP recorded properly</t>
  </si>
  <si>
    <t>Reset WLT</t>
  </si>
  <si>
    <t>Note what the upcoming quarter division placements for each team at bottom of Week 4 and Week 8</t>
  </si>
  <si>
    <t>*** After Week 5 and Week 9 see W5,W9 instead of below</t>
  </si>
  <si>
    <t>https://docs.google.com/spreadsheets/d/1ZAofjLLNUlLhJdm_KMK1PB-LWqT5yTCRkn3YMuUZ5As/edit#gid=635502673</t>
  </si>
  <si>
    <t xml:space="preserve">Using the Results above, assign VP for each team </t>
  </si>
  <si>
    <r>
      <rPr/>
      <t xml:space="preserve">Go to </t>
    </r>
    <r>
      <rPr>
        <color rgb="FF1155CC"/>
        <u/>
      </rPr>
      <t>Victory Points Adjustor in Commissioner Setup screen</t>
    </r>
  </si>
  <si>
    <r>
      <rPr/>
      <t xml:space="preserve">Go to </t>
    </r>
    <r>
      <rPr>
        <color rgb="FF1155CC"/>
        <u/>
      </rPr>
      <t>https://www42.myfantasyleague.com/2026/csetup?L=63213&amp;C=STANDADJ</t>
    </r>
  </si>
  <si>
    <t>Go to Division Placements tab, enter teams for upcoming quarter in the correct spots</t>
  </si>
  <si>
    <t>https://www.myfantasyleague.com/2025/options?L=63213&amp;O=168</t>
  </si>
  <si>
    <t>Set up Week 12-13 schedule</t>
  </si>
  <si>
    <t>Add Head Start Points to Week 13 teams</t>
  </si>
  <si>
    <t>Add VP for teams and explanation (see right)</t>
  </si>
  <si>
    <t>*** After Week 4 and Week 8 also do W4,W8</t>
  </si>
  <si>
    <t>*** After Week 12, also do W12</t>
  </si>
  <si>
    <t>Must switch to Commissioner mode in MFL for the link above</t>
  </si>
  <si>
    <t>Select All and Clear the schedule in the text box on the page</t>
  </si>
  <si>
    <t>From MFL Importer spreadsheet in MFL Schedule tab, select and copy Column D (starting at Row 2)</t>
  </si>
  <si>
    <t>Back to the MFL Schedule page, paste Column D in the text box. Remove the first row ("MFL Coded") - first line should just be a schedule row ("01,...")</t>
  </si>
  <si>
    <t>Click Save</t>
  </si>
  <si>
    <t>Look at last week's standings for each team's WLT and VP ending Week 4 or 8</t>
  </si>
  <si>
    <t>Subtract wins, losses, ties exactly as team's record ending record. Add Explanation. (see right)</t>
  </si>
  <si>
    <t>(process as below)</t>
  </si>
  <si>
    <t>Remove In-Division VPs earned</t>
  </si>
  <si>
    <t>**Note - removing wins (above) also subtracts victory points earned</t>
  </si>
  <si>
    <r>
      <rPr>
        <rFont val="Arial"/>
        <color theme="1"/>
      </rPr>
      <t xml:space="preserve">Track how many wins (and ties) subtracted - </t>
    </r>
    <r>
      <rPr>
        <rFont val="Arial"/>
        <color theme="1"/>
        <u/>
      </rPr>
      <t>this many VPs have already been subtracted</t>
    </r>
  </si>
  <si>
    <t>Check standings this week (5 or 9). VPs need to match what official Results &amp; Standings show for this week</t>
  </si>
  <si>
    <t>Check this week's (week 5 or 9) results</t>
  </si>
  <si>
    <t>See if each team earned In-Division Top 2 VP</t>
  </si>
  <si>
    <t>This needs to be added to the number of VPs subtracted above</t>
  </si>
  <si>
    <r>
      <rPr/>
      <t xml:space="preserve">Go to </t>
    </r>
    <r>
      <rPr>
        <color rgb="FF1155CC"/>
        <u/>
      </rPr>
      <t>https://docs.google.com/spreadsheets/d/18s1RsRmjP-xTzodbsjOzU2nrj2vdZKQ9hzFt_-jYiKU</t>
    </r>
    <r>
      <rPr/>
      <t xml:space="preserve"> </t>
    </r>
  </si>
  <si>
    <t>Adjust (Subtract likely) VPs and add explanation (see right) for each team</t>
  </si>
  <si>
    <r>
      <rPr>
        <b/>
      </rPr>
      <t xml:space="preserve">Change Promoted/Relegated Teams to Correct Divisions - </t>
    </r>
    <r>
      <rPr>
        <b/>
        <color rgb="FF1155CC"/>
        <u/>
      </rPr>
      <t>https://www42.myfantasyleague.com/2026/csetup?L=63213&amp;C=DIVCONF</t>
    </r>
  </si>
  <si>
    <t>Postseason - Week 13-Week 17</t>
  </si>
  <si>
    <t>After Week 13</t>
  </si>
  <si>
    <t>Make sure that final results are captured from MFL into results spreadsheet</t>
  </si>
  <si>
    <t>Before Week 13</t>
  </si>
  <si>
    <t>Add matchups in schedule</t>
  </si>
  <si>
    <t xml:space="preserve">Go to </t>
  </si>
  <si>
    <t>Add postseason bonus to each team</t>
  </si>
  <si>
    <t>Look at Results and Standings sheet, Postseaon tab and get bonus for each team</t>
  </si>
  <si>
    <t>In MFL, Adjust Scores for each team. Add "bonus" for each team that gets one.</t>
  </si>
  <si>
    <t>Make sure applied to Week 13</t>
  </si>
  <si>
    <t>Token Tracker</t>
  </si>
  <si>
    <t>Explanation "Postseason Bonus"</t>
  </si>
  <si>
    <t>In the ending year, delete the time triggers in Google script</t>
  </si>
  <si>
    <t>After Week 13 / Before Week 14</t>
  </si>
  <si>
    <t>Finalize tokens for each team from contribution and winning tokens</t>
  </si>
  <si>
    <t>Copy the sheet to a new year sheet (2025 PBR ... 2026 PBR)</t>
  </si>
  <si>
    <t>Copy end of prior year total tokens to new year start of year token count</t>
  </si>
  <si>
    <t>Update dates on Tracker and zero out/remove values</t>
  </si>
  <si>
    <t>Clear Waivers and Trades tab</t>
  </si>
  <si>
    <t>Update dates on other tabs like PlayerValues</t>
  </si>
  <si>
    <t>Remove prior year trade values (e.g. 2025-02)</t>
  </si>
  <si>
    <t>AFTER THE NEW MFL YEAR (roughly after 2/15)</t>
  </si>
  <si>
    <t>Open code editor</t>
  </si>
  <si>
    <t>change the years from old to new in all code modules</t>
  </si>
  <si>
    <t>Add new daily (3am PST) trigger for grabdailymfltransactions</t>
  </si>
  <si>
    <t xml:space="preserve">Add monthy trigger (1st of month 3am PST) for updatemontlytradevalues </t>
  </si>
  <si>
    <t>Manually run for February if not already</t>
  </si>
  <si>
    <t>Publish new sheet. Copy link and update MFL</t>
  </si>
  <si>
    <t>Results &amp; Standings</t>
  </si>
  <si>
    <t>In Drive, make copy of sheet (this way you don't have to open old one)</t>
  </si>
  <si>
    <t>Change all MFL links to upcoming year (e.g. 2022 to 2023). Make sure MFL link hasn't changed</t>
  </si>
  <si>
    <t>Blank Prizes tab</t>
  </si>
  <si>
    <t>Change year in Results tab</t>
  </si>
  <si>
    <t>This Year's Results and Standings URL</t>
  </si>
  <si>
    <t>Update Q1 divisions</t>
  </si>
  <si>
    <t>Publish and copy link to MFL</t>
  </si>
  <si>
    <t>https://docs.google.com/spreadsheets/d/1Id_rABQWLpWC4Tqhvrht8bLYQqHRzGU-Th7dIQburKc</t>
  </si>
  <si>
    <t>MFL Site</t>
  </si>
  <si>
    <t>Follow MFL directions when site is opened</t>
  </si>
  <si>
    <t>When setting draft order, use last year's postseason results to first set each round draft order, then import future draft picks, then add the .13 and .14 picks</t>
  </si>
  <si>
    <t>Update "bonus draft picks" table from 2025 token draw results. Remove oldest year. And new future year</t>
  </si>
  <si>
    <t>Update divisions</t>
  </si>
  <si>
    <r>
      <rPr/>
      <t xml:space="preserve">Update (Q1) schedule. Use PBR Schedule MFL Importer - </t>
    </r>
    <r>
      <rPr>
        <color rgb="FF1155CC"/>
        <u/>
      </rPr>
      <t>https://docs.google.com/spreadsheets/d/1ZAofjLLNUlLhJdm_KMK1PB-LWqT5yTCRkn3YMuUZ5As/edit?gid=98615385#gid=98615385</t>
    </r>
  </si>
  <si>
    <t>Process "trades" from Token Draw for the forfeited and won draft picks. This can be done after the token draw</t>
  </si>
  <si>
    <t>After Week</t>
  </si>
  <si>
    <t>Check FAAB ($100 rollover max + $400) ... MFL automatically adds $400. Reduce any over $500 to $500</t>
  </si>
  <si>
    <t>By-Laws</t>
  </si>
  <si>
    <t>Copy last year for draft of current year</t>
  </si>
  <si>
    <t>Have updated by end of April</t>
  </si>
  <si>
    <t>4</t>
  </si>
  <si>
    <t>Process on MFL</t>
  </si>
  <si>
    <t>https://www42.myfantasyleague.com/2026/csetup?L=63213&amp;C=STANDADJ</t>
  </si>
  <si>
    <t>Franchise</t>
  </si>
  <si>
    <t>Week</t>
  </si>
  <si>
    <t>=+/- Wins</t>
  </si>
  <si>
    <t>=+/- Losses</t>
  </si>
  <si>
    <t>=+/- Ties</t>
  </si>
  <si>
    <t>Explanation</t>
  </si>
  <si>
    <t>In Division VP Earned</t>
  </si>
  <si>
    <t>Orcan Terror</t>
  </si>
  <si>
    <t>BattleBots</t>
  </si>
  <si>
    <t>Shankly's Ghost</t>
  </si>
  <si>
    <t>Hamsterdam</t>
  </si>
  <si>
    <t>Peaky Fookin Blinders</t>
  </si>
  <si>
    <t>Ted Lasso</t>
  </si>
  <si>
    <t>Norsemen</t>
  </si>
  <si>
    <t>The Two Tones</t>
  </si>
  <si>
    <t>Springfield Isotopes</t>
  </si>
  <si>
    <t>The Meaty Ogres</t>
  </si>
  <si>
    <t>The Wild Cards</t>
  </si>
  <si>
    <t>2 Roops, 1 Silva</t>
  </si>
  <si>
    <t>Reset In-Division VPs</t>
  </si>
  <si>
    <t>https://www42.myfantasyleague.com/2026/csetup?L=63213&amp;C=STANDADJ&amp;VICTORY_POINTS=1</t>
  </si>
  <si>
    <t>=+/- Victory Points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</si>
</sst>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i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b/>
      <u/>
      <color rgb="FF0000FF"/>
    </font>
    <font>
      <u/>
      <color rgb="FF0000FF"/>
    </font>
    <font>
      <b/>
      <color theme="1"/>
      <name val="Arial Narrow"/>
    </font>
    <font>
      <color theme="1"/>
      <name val="Arial Narrow"/>
    </font>
    <font>
      <b/>
      <color theme="1"/>
      <name val="Arial"/>
    </font>
    <font>
      <u/>
      <color rgb="FF0000FF"/>
      <name val="Arial"/>
    </font>
    <font>
      <color theme="1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49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3" fontId="1" numFmtId="49" xfId="0" applyAlignment="1" applyFill="1" applyFont="1" applyNumberFormat="1">
      <alignment readingOrder="0"/>
    </xf>
    <xf borderId="0" fillId="4" fontId="1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  <xf borderId="0" fillId="0" fontId="1" numFmtId="0" xfId="0" applyFont="1"/>
    <xf borderId="0" fillId="0" fontId="9" numFmtId="0" xfId="0" applyAlignment="1" applyFont="1">
      <alignment readingOrder="0" shrinkToFit="0" wrapText="0"/>
    </xf>
    <xf borderId="0" fillId="5" fontId="1" numFmtId="49" xfId="0" applyAlignment="1" applyFill="1" applyFont="1" applyNumberFormat="1">
      <alignment readingOrder="0"/>
    </xf>
    <xf borderId="0" fillId="3" fontId="1" numFmtId="49" xfId="0" applyAlignment="1" applyFill="1" applyFont="1" applyNumberFormat="1">
      <alignment horizontal="center" readingOrder="0"/>
    </xf>
    <xf borderId="0" fillId="6" fontId="10" numFmtId="0" xfId="0" applyAlignment="1" applyFill="1" applyFont="1">
      <alignment readingOrder="0"/>
    </xf>
    <xf borderId="0" fillId="6" fontId="11" numFmtId="49" xfId="0" applyAlignment="1" applyFill="1" applyFont="1" applyNumberFormat="1">
      <alignment readingOrder="0"/>
    </xf>
    <xf borderId="0" fillId="6" fontId="11" numFmtId="49" xfId="0" applyFill="1" applyFont="1" applyNumberFormat="1"/>
    <xf borderId="1" fillId="2" fontId="12" numFmtId="49" xfId="0" applyAlignment="1" applyBorder="1" applyFill="1" applyFont="1" applyNumberFormat="1">
      <alignment vertical="bottom"/>
    </xf>
    <xf borderId="2" fillId="0" fontId="13" numFmtId="49" xfId="0" applyAlignment="1" applyBorder="1" applyFont="1" applyNumberFormat="1">
      <alignment readingOrder="0" vertical="bottom"/>
    </xf>
    <xf borderId="2" fillId="0" fontId="14" numFmtId="49" xfId="0" applyAlignment="1" applyBorder="1" applyFont="1" applyNumberFormat="1">
      <alignment vertical="bottom"/>
    </xf>
    <xf borderId="3" fillId="0" fontId="14" numFmtId="49" xfId="0" applyAlignment="1" applyBorder="1" applyFont="1" applyNumberFormat="1">
      <alignment vertical="bottom"/>
    </xf>
    <xf borderId="0" fillId="0" fontId="11" numFmtId="49" xfId="0" applyFont="1" applyNumberFormat="1"/>
    <xf borderId="1" fillId="6" fontId="11" numFmtId="0" xfId="0" applyBorder="1" applyFill="1" applyFont="1"/>
    <xf borderId="2" fillId="6" fontId="11" numFmtId="49" xfId="0" applyAlignment="1" applyBorder="1" applyFill="1" applyFont="1" applyNumberFormat="1">
      <alignment readingOrder="0"/>
    </xf>
    <xf borderId="2" fillId="6" fontId="11" numFmtId="49" xfId="0" applyBorder="1" applyFill="1" applyFont="1" applyNumberFormat="1"/>
    <xf borderId="3" fillId="6" fontId="11" numFmtId="49" xfId="0" applyBorder="1" applyFill="1" applyFont="1" applyNumberFormat="1"/>
    <xf borderId="4" fillId="0" fontId="12" numFmtId="49" xfId="0" applyAlignment="1" applyBorder="1" applyFont="1" applyNumberFormat="1">
      <alignment vertical="bottom"/>
    </xf>
    <xf borderId="0" fillId="0" fontId="12" numFmtId="49" xfId="0" applyAlignment="1" applyFont="1" applyNumberFormat="1">
      <alignment vertical="bottom"/>
    </xf>
    <xf quotePrefix="1" borderId="0" fillId="0" fontId="12" numFmtId="49" xfId="0" applyAlignment="1" applyFont="1" applyNumberFormat="1">
      <alignment vertical="bottom"/>
    </xf>
    <xf borderId="5" fillId="0" fontId="12" numFmtId="49" xfId="0" applyAlignment="1" applyBorder="1" applyFont="1" applyNumberFormat="1">
      <alignment vertical="bottom"/>
    </xf>
    <xf borderId="4" fillId="6" fontId="2" numFmtId="0" xfId="0" applyBorder="1" applyFill="1" applyFont="1"/>
    <xf borderId="5" fillId="6" fontId="11" numFmtId="49" xfId="0" applyBorder="1" applyFill="1" applyFont="1" applyNumberFormat="1"/>
    <xf borderId="0" fillId="0" fontId="11" numFmtId="49" xfId="0" applyAlignment="1" applyFont="1" applyNumberFormat="1">
      <alignment readingOrder="0"/>
    </xf>
    <xf borderId="0" fillId="7" fontId="14" numFmtId="49" xfId="0" applyAlignment="1" applyFill="1" applyFont="1" applyNumberFormat="1">
      <alignment horizontal="center" vertical="bottom"/>
    </xf>
    <xf borderId="5" fillId="7" fontId="14" numFmtId="49" xfId="0" applyAlignment="1" applyBorder="1" applyFill="1" applyFont="1" applyNumberFormat="1">
      <alignment vertical="bottom"/>
    </xf>
    <xf borderId="4" fillId="6" fontId="11" numFmtId="49" xfId="0" applyAlignment="1" applyBorder="1" applyFill="1" applyFont="1" applyNumberFormat="1">
      <alignment readingOrder="0"/>
    </xf>
    <xf borderId="6" fillId="0" fontId="12" numFmtId="49" xfId="0" applyAlignment="1" applyBorder="1" applyFont="1" applyNumberFormat="1">
      <alignment vertical="bottom"/>
    </xf>
    <xf borderId="7" fillId="7" fontId="14" numFmtId="49" xfId="0" applyAlignment="1" applyBorder="1" applyFill="1" applyFont="1" applyNumberFormat="1">
      <alignment horizontal="center" vertical="bottom"/>
    </xf>
    <xf borderId="8" fillId="7" fontId="14" numFmtId="49" xfId="0" applyAlignment="1" applyBorder="1" applyFill="1" applyFont="1" applyNumberFormat="1">
      <alignment vertical="bottom"/>
    </xf>
    <xf borderId="6" fillId="6" fontId="11" numFmtId="49" xfId="0" applyAlignment="1" applyBorder="1" applyFill="1" applyFont="1" applyNumberFormat="1">
      <alignment readingOrder="0"/>
    </xf>
    <xf borderId="7" fillId="6" fontId="11" numFmtId="49" xfId="0" applyAlignment="1" applyBorder="1" applyFill="1" applyFont="1" applyNumberFormat="1">
      <alignment readingOrder="0"/>
    </xf>
    <xf borderId="8" fillId="6" fontId="2" numFmtId="49" xfId="0" applyBorder="1" applyFill="1" applyFont="1" applyNumberFormat="1"/>
    <xf borderId="3" fillId="6" fontId="11" numFmtId="49" xfId="0" applyAlignment="1" applyBorder="1" applyFill="1" applyFont="1" applyNumberFormat="1">
      <alignment readingOrder="0"/>
    </xf>
    <xf borderId="0" fillId="6" fontId="15" numFmtId="49" xfId="0" applyAlignment="1" applyFill="1" applyFont="1" applyNumberFormat="1">
      <alignment readingOrder="0"/>
    </xf>
    <xf borderId="0" fillId="6" fontId="1" numFmtId="49" xfId="0" applyAlignment="1" applyFill="1" applyFont="1" applyNumberFormat="1">
      <alignment readingOrder="0"/>
    </xf>
    <xf borderId="0" fillId="6" fontId="2" numFmtId="49" xfId="0" applyFill="1" applyFont="1" applyNumberFormat="1"/>
    <xf borderId="5" fillId="6" fontId="11" numFmtId="49" xfId="0" applyAlignment="1" applyBorder="1" applyFill="1" applyFont="1" applyNumberFormat="1">
      <alignment readingOrder="0"/>
    </xf>
    <xf borderId="1" fillId="6" fontId="1" numFmtId="49" xfId="0" applyAlignment="1" applyBorder="1" applyFill="1" applyFont="1" applyNumberFormat="1">
      <alignment readingOrder="0"/>
    </xf>
    <xf borderId="2" fillId="6" fontId="1" numFmtId="49" xfId="0" applyAlignment="1" applyBorder="1" applyFill="1" applyFont="1" applyNumberFormat="1">
      <alignment readingOrder="0"/>
    </xf>
    <xf quotePrefix="1" borderId="2" fillId="6" fontId="1" numFmtId="49" xfId="0" applyAlignment="1" applyBorder="1" applyFill="1" applyFont="1" applyNumberFormat="1">
      <alignment readingOrder="0"/>
    </xf>
    <xf borderId="3" fillId="6" fontId="2" numFmtId="49" xfId="0" applyBorder="1" applyFill="1" applyFont="1" applyNumberFormat="1"/>
    <xf borderId="4" fillId="6" fontId="12" numFmtId="49" xfId="0" applyAlignment="1" applyBorder="1" applyFill="1" applyFont="1" applyNumberFormat="1">
      <alignment vertical="bottom"/>
    </xf>
    <xf borderId="0" fillId="6" fontId="2" numFmtId="49" xfId="0" applyAlignment="1" applyFill="1" applyFont="1" applyNumberFormat="1">
      <alignment horizontal="center"/>
    </xf>
    <xf borderId="5" fillId="6" fontId="2" numFmtId="49" xfId="0" applyBorder="1" applyFill="1" applyFont="1" applyNumberFormat="1"/>
    <xf borderId="6" fillId="6" fontId="12" numFmtId="49" xfId="0" applyAlignment="1" applyBorder="1" applyFill="1" applyFont="1" applyNumberFormat="1">
      <alignment vertical="bottom"/>
    </xf>
    <xf borderId="7" fillId="6" fontId="2" numFmtId="49" xfId="0" applyAlignment="1" applyBorder="1" applyFill="1" applyFont="1" applyNumberFormat="1">
      <alignment horizontal="center"/>
    </xf>
    <xf borderId="7" fillId="6" fontId="2" numFmtId="49" xfId="0" applyBorder="1" applyFill="1" applyFont="1" applyNumberFormat="1"/>
    <xf borderId="8" fillId="6" fontId="11" numFmtId="49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0</xdr:row>
      <xdr:rowOff>28575</xdr:rowOff>
    </xdr:from>
    <xdr:ext cx="5524500" cy="3800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</xdr:row>
      <xdr:rowOff>47625</xdr:rowOff>
    </xdr:from>
    <xdr:ext cx="4200525" cy="1371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11</xdr:row>
      <xdr:rowOff>104775</xdr:rowOff>
    </xdr:from>
    <xdr:ext cx="4200525" cy="12858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2</xdr:row>
      <xdr:rowOff>142875</xdr:rowOff>
    </xdr:from>
    <xdr:ext cx="5638800" cy="31146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s1RsRmjP-xTzodbsjOzU2nrj2vdZKQ9hzFt_-jYiKU/edit" TargetMode="External"/><Relationship Id="rId2" Type="http://schemas.openxmlformats.org/officeDocument/2006/relationships/hyperlink" Target="https://www.myfantasyleague.com/2025/csetup?L=63213&amp;C=STANDADJ&amp;VICTORY_POINTS=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K8B9z7aNm_76xvVx6hdwaOw6SYtwTA9wrKHrvW9VYc/edit?gid=226805093" TargetMode="External"/><Relationship Id="rId2" Type="http://schemas.openxmlformats.org/officeDocument/2006/relationships/hyperlink" Target="https://docs.google.com/spreadsheets/d/1ZAofjLLNUlLhJdm_KMK1PB-LWqT5yTCRkn3YMuUZ5As/edit" TargetMode="External"/><Relationship Id="rId3" Type="http://schemas.openxmlformats.org/officeDocument/2006/relationships/hyperlink" Target="https://www.myfantasyleague.com/2025/options?L=63213&amp;O=168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42.myfantasyleague.com/2026/csetup?L=63213&amp;C=STANDADJ" TargetMode="External"/><Relationship Id="rId2" Type="http://schemas.openxmlformats.org/officeDocument/2006/relationships/hyperlink" Target="https://docs.google.com/spreadsheets/d/18s1RsRmjP-xTzodbsjOzU2nrj2vdZKQ9hzFt_-jYiKU" TargetMode="External"/><Relationship Id="rId3" Type="http://schemas.openxmlformats.org/officeDocument/2006/relationships/hyperlink" Target="https://www42.myfantasyleague.com/2025/csetup?L=63213&amp;C=DIVCONF" TargetMode="External"/><Relationship Id="rId4" Type="http://schemas.openxmlformats.org/officeDocument/2006/relationships/hyperlink" Target="https://docs.google.com/spreadsheets/d/1Id_rABQWLpWC4Tqhvrht8bLYQqHRzGU-Th7dIQburKc" TargetMode="External"/><Relationship Id="rId5" Type="http://schemas.openxmlformats.org/officeDocument/2006/relationships/hyperlink" Target="https://www42.myfantasyleague.com/2026/csetup?L=63213&amp;C=STANDADJ" TargetMode="External"/><Relationship Id="rId6" Type="http://schemas.openxmlformats.org/officeDocument/2006/relationships/hyperlink" Target="https://www42.myfantasyleague.com/2026/csetup?L=63213&amp;C=STANDADJ&amp;VICTORY_POINTS=1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42.myfantasyleague.com/2024/csetup?L=63213&amp;C=DIVCONF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AofjLLNUlLhJdm_KMK1PB-LWqT5yTCRkn3YMuUZ5As/edit?gid=98615385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7" t="s">
        <v>6</v>
      </c>
    </row>
    <row r="3">
      <c r="A3" s="8" t="s">
        <v>14</v>
      </c>
    </row>
    <row r="4">
      <c r="A4" s="2" t="s">
        <v>16</v>
      </c>
    </row>
    <row r="5">
      <c r="B5" s="7" t="s">
        <v>17</v>
      </c>
    </row>
    <row r="6">
      <c r="C6" s="2" t="s">
        <v>23</v>
      </c>
    </row>
    <row r="7">
      <c r="A7" s="8" t="s">
        <v>24</v>
      </c>
    </row>
    <row r="8">
      <c r="A8" s="8" t="s">
        <v>25</v>
      </c>
    </row>
  </sheetData>
  <hyperlinks>
    <hyperlink r:id="rId1" ref="A2"/>
    <hyperlink r:id="rId2" ref="B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B3" s="7" t="s">
        <v>3</v>
      </c>
    </row>
    <row r="4">
      <c r="C4" s="2" t="s">
        <v>13</v>
      </c>
    </row>
    <row r="5">
      <c r="B5" s="9" t="s">
        <v>15</v>
      </c>
    </row>
    <row r="6">
      <c r="C6" s="2" t="s">
        <v>19</v>
      </c>
    </row>
    <row r="7">
      <c r="B7" s="7" t="s">
        <v>20</v>
      </c>
    </row>
    <row r="8">
      <c r="C8" s="2" t="s">
        <v>26</v>
      </c>
    </row>
    <row r="9">
      <c r="C9" s="2" t="s">
        <v>27</v>
      </c>
    </row>
    <row r="10">
      <c r="C10" s="2" t="s">
        <v>28</v>
      </c>
    </row>
    <row r="11">
      <c r="C11" s="2" t="s">
        <v>29</v>
      </c>
    </row>
    <row r="12">
      <c r="C12" s="2" t="s">
        <v>30</v>
      </c>
    </row>
  </sheetData>
  <hyperlinks>
    <hyperlink r:id="rId1" location="gid=226805093" ref="B3"/>
    <hyperlink r:id="rId2" location="gid=635502673" ref="B5"/>
    <hyperlink r:id="rId3" ref="B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75"/>
  </cols>
  <sheetData>
    <row r="1">
      <c r="A1" s="3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11</v>
      </c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6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10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11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11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12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1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11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11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14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C13" s="3" t="s">
        <v>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C14" s="11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C15" s="15" t="s">
        <v>40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C16" s="10" t="s">
        <v>41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C17" s="11" t="s">
        <v>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/>
      <c r="B18" s="12" t="s">
        <v>33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6" t="s">
        <v>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1" t="s">
        <v>77</v>
      </c>
      <c r="B21" s="4"/>
      <c r="C21" s="4"/>
      <c r="D21" s="10" t="s">
        <v>80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6" t="s">
        <v>12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9" t="s">
        <v>88</v>
      </c>
      <c r="B23" s="20" t="s">
        <v>93</v>
      </c>
      <c r="C23" s="4"/>
      <c r="D23" s="4"/>
      <c r="E23" s="4"/>
      <c r="F23" s="4"/>
      <c r="G23" s="4"/>
      <c r="H23" s="4"/>
      <c r="I23" s="12" t="s">
        <v>94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1" t="str">
        <f>"Week "&amp;B23&amp;" - From Results &amp; Standings sheet"</f>
        <v>Week 4 - From Results &amp; Standings sheet</v>
      </c>
      <c r="B24" s="22"/>
      <c r="C24" s="23"/>
      <c r="D24" s="23"/>
      <c r="E24" s="23"/>
      <c r="F24" s="23"/>
      <c r="G24" s="23"/>
      <c r="I24" s="24" t="s">
        <v>12</v>
      </c>
      <c r="J24" s="25" t="s">
        <v>95</v>
      </c>
      <c r="K24" s="26"/>
      <c r="L24" s="26"/>
      <c r="M24" s="26"/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9" t="str">
        <f>IFERROR(__xludf.DUMMYFUNCTION("importrange($D$21,""W""&amp;B23&amp;""!F22:L37"")"),"PROMOTION/RELEGATION EVENT")</f>
        <v>PROMOTION/RELEGATION EVENT</v>
      </c>
      <c r="B25" s="30"/>
      <c r="C25" s="31"/>
      <c r="D25" s="31"/>
      <c r="E25" s="31"/>
      <c r="F25" s="31" t="str">
        <f>IFERROR(__xludf.DUMMYFUNCTION("""COMPUTED_VALUE"""),"Next Quarter")</f>
        <v>Next Quarter</v>
      </c>
      <c r="G25" s="32"/>
      <c r="I25" s="33" t="s">
        <v>96</v>
      </c>
      <c r="J25" s="34" t="s">
        <v>97</v>
      </c>
      <c r="K25" s="35" t="s">
        <v>98</v>
      </c>
      <c r="L25" s="35" t="s">
        <v>99</v>
      </c>
      <c r="M25" s="35" t="s">
        <v>100</v>
      </c>
      <c r="N25" s="36" t="s">
        <v>101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7" t="str">
        <f>IFERROR(__xludf.DUMMYFUNCTION("""COMPUTED_VALUE"""),"Upper Division")</f>
        <v>Upper Division</v>
      </c>
      <c r="B26" s="22" t="str">
        <f>IFERROR(__xludf.DUMMYFUNCTION("""COMPUTED_VALUE"""),"Total VP")</f>
        <v>Total VP</v>
      </c>
      <c r="C26" s="23" t="str">
        <f>IFERROR(__xludf.DUMMYFUNCTION("""COMPUTED_VALUE"""),"PF")</f>
        <v>PF</v>
      </c>
      <c r="D26" s="23" t="str">
        <f>IFERROR(__xludf.DUMMYFUNCTION("""COMPUTED_VALUE"""),"PP")</f>
        <v>PP</v>
      </c>
      <c r="E26" s="23" t="str">
        <f>IFERROR(__xludf.DUMMYFUNCTION("""COMPUTED_VALUE"""),"W-L-T")</f>
        <v>W-L-T</v>
      </c>
      <c r="F26" s="23" t="str">
        <f>IFERROR(__xludf.DUMMYFUNCTION("""COMPUTED_VALUE"""),"Division / Schedule Slot")</f>
        <v>Division / Schedule Slot</v>
      </c>
      <c r="G26" s="38"/>
      <c r="H26" s="39" t="s">
        <v>102</v>
      </c>
      <c r="I26" s="33" t="s">
        <v>103</v>
      </c>
      <c r="J26" s="40">
        <f t="shared" ref="J26:J37" si="1">$B$23+1</f>
        <v>5</v>
      </c>
      <c r="K26" s="40" t="str">
        <f t="shared" ref="K26:K37" si="2">concatenate("-",left(vlookup($I26,$A$26:$E$40,5,false),1))</f>
        <v>-7</v>
      </c>
      <c r="L26" s="40" t="str">
        <f t="shared" ref="L26:L37" si="3">concatenate("-",mid(vlookup($I26,$A$26:$E$40,5,false),3,1))</f>
        <v>-1</v>
      </c>
      <c r="M26" s="40" t="str">
        <f t="shared" ref="M26:M37" si="4">concatenate("-",right(vlookup($I26,$A$26:$E$40,5,false),1))</f>
        <v>-0</v>
      </c>
      <c r="N26" s="41" t="str">
        <f t="shared" ref="N26:N37" si="5">if(value($B$23)=4,"Q2 Reset",IF(value($B$23)=8,"Q3 Reset"))</f>
        <v>Q2 Reset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42" t="str">
        <f>IFERROR(__xludf.DUMMYFUNCTION("""COMPUTED_VALUE"""),"BattleBots")</f>
        <v>BattleBots</v>
      </c>
      <c r="B27" s="22">
        <f>IFERROR(__xludf.DUMMYFUNCTION("""COMPUTED_VALUE"""),10.0)</f>
        <v>10</v>
      </c>
      <c r="C27" s="22">
        <f>IFERROR(__xludf.DUMMYFUNCTION("""COMPUTED_VALUE"""),609.88)</f>
        <v>609.88</v>
      </c>
      <c r="D27" s="22">
        <f>IFERROR(__xludf.DUMMYFUNCTION("""COMPUTED_VALUE"""),712.08)</f>
        <v>712.08</v>
      </c>
      <c r="E27" s="22" t="str">
        <f>IFERROR(__xludf.DUMMYFUNCTION("""COMPUTED_VALUE"""),"6-2-0")</f>
        <v>6-2-0</v>
      </c>
      <c r="F27" s="22" t="str">
        <f>IFERROR(__xludf.DUMMYFUNCTION("""COMPUTED_VALUE"""),"Upper")</f>
        <v>Upper</v>
      </c>
      <c r="G27" s="38" t="str">
        <f>IFERROR(__xludf.DUMMYFUNCTION("""COMPUTED_VALUE"""),"#1")</f>
        <v>#1</v>
      </c>
      <c r="H27" s="28">
        <f t="shared" ref="H27:H30" si="6">B27-left(E27,1)-right(E27,1)*0.5</f>
        <v>4</v>
      </c>
      <c r="I27" s="33" t="s">
        <v>104</v>
      </c>
      <c r="J27" s="40">
        <f t="shared" si="1"/>
        <v>5</v>
      </c>
      <c r="K27" s="40" t="str">
        <f t="shared" si="2"/>
        <v>-6</v>
      </c>
      <c r="L27" s="40" t="str">
        <f t="shared" si="3"/>
        <v>-2</v>
      </c>
      <c r="M27" s="40" t="str">
        <f t="shared" si="4"/>
        <v>-0</v>
      </c>
      <c r="N27" s="41" t="str">
        <f t="shared" si="5"/>
        <v>Q2 Reset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42" t="str">
        <f>IFERROR(__xludf.DUMMYFUNCTION("""COMPUTED_VALUE"""),"Orcan Terror")</f>
        <v>Orcan Terror</v>
      </c>
      <c r="B28" s="22">
        <f>IFERROR(__xludf.DUMMYFUNCTION("""COMPUTED_VALUE"""),9.0)</f>
        <v>9</v>
      </c>
      <c r="C28" s="22">
        <f>IFERROR(__xludf.DUMMYFUNCTION("""COMPUTED_VALUE"""),559.86)</f>
        <v>559.86</v>
      </c>
      <c r="D28" s="22">
        <f>IFERROR(__xludf.DUMMYFUNCTION("""COMPUTED_VALUE"""),678.65)</f>
        <v>678.65</v>
      </c>
      <c r="E28" s="22" t="str">
        <f>IFERROR(__xludf.DUMMYFUNCTION("""COMPUTED_VALUE"""),"7-1-0")</f>
        <v>7-1-0</v>
      </c>
      <c r="F28" s="22" t="str">
        <f>IFERROR(__xludf.DUMMYFUNCTION("""COMPUTED_VALUE"""),"Upper")</f>
        <v>Upper</v>
      </c>
      <c r="G28" s="38" t="str">
        <f>IFERROR(__xludf.DUMMYFUNCTION("""COMPUTED_VALUE"""),"#2")</f>
        <v>#2</v>
      </c>
      <c r="H28" s="28">
        <f t="shared" si="6"/>
        <v>2</v>
      </c>
      <c r="I28" s="33" t="s">
        <v>105</v>
      </c>
      <c r="J28" s="40">
        <f t="shared" si="1"/>
        <v>5</v>
      </c>
      <c r="K28" s="40" t="str">
        <f t="shared" si="2"/>
        <v>-5</v>
      </c>
      <c r="L28" s="40" t="str">
        <f t="shared" si="3"/>
        <v>-3</v>
      </c>
      <c r="M28" s="40" t="str">
        <f t="shared" si="4"/>
        <v>-0</v>
      </c>
      <c r="N28" s="41" t="str">
        <f t="shared" si="5"/>
        <v>Q2 Reset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42" t="str">
        <f>IFERROR(__xludf.DUMMYFUNCTION("""COMPUTED_VALUE"""),"Peaky Fookin Blinders")</f>
        <v>Peaky Fookin Blinders</v>
      </c>
      <c r="B29" s="22">
        <f>IFERROR(__xludf.DUMMYFUNCTION("""COMPUTED_VALUE"""),6.0)</f>
        <v>6</v>
      </c>
      <c r="C29" s="22">
        <f>IFERROR(__xludf.DUMMYFUNCTION("""COMPUTED_VALUE"""),532.64)</f>
        <v>532.64</v>
      </c>
      <c r="D29" s="22">
        <f>IFERROR(__xludf.DUMMYFUNCTION("""COMPUTED_VALUE"""),616.57)</f>
        <v>616.57</v>
      </c>
      <c r="E29" s="22" t="str">
        <f>IFERROR(__xludf.DUMMYFUNCTION("""COMPUTED_VALUE"""),"5-3-0")</f>
        <v>5-3-0</v>
      </c>
      <c r="F29" s="22" t="str">
        <f>IFERROR(__xludf.DUMMYFUNCTION("""COMPUTED_VALUE"""),"Upper")</f>
        <v>Upper</v>
      </c>
      <c r="G29" s="38" t="str">
        <f>IFERROR(__xludf.DUMMYFUNCTION("""COMPUTED_VALUE"""),"#2")</f>
        <v>#2</v>
      </c>
      <c r="H29" s="28">
        <f t="shared" si="6"/>
        <v>1</v>
      </c>
      <c r="I29" s="33" t="s">
        <v>106</v>
      </c>
      <c r="J29" s="40">
        <f t="shared" si="1"/>
        <v>5</v>
      </c>
      <c r="K29" s="40" t="str">
        <f t="shared" si="2"/>
        <v>-3</v>
      </c>
      <c r="L29" s="40" t="str">
        <f t="shared" si="3"/>
        <v>-5</v>
      </c>
      <c r="M29" s="40" t="str">
        <f t="shared" si="4"/>
        <v>-0</v>
      </c>
      <c r="N29" s="41" t="str">
        <f t="shared" si="5"/>
        <v>Q2 Reset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42" t="str">
        <f>IFERROR(__xludf.DUMMYFUNCTION("""COMPUTED_VALUE"""),"Shankly's Ghost")</f>
        <v>Shankly's Ghost</v>
      </c>
      <c r="B30" s="22">
        <f>IFERROR(__xludf.DUMMYFUNCTION("""COMPUTED_VALUE"""),6.0)</f>
        <v>6</v>
      </c>
      <c r="C30" s="22">
        <f>IFERROR(__xludf.DUMMYFUNCTION("""COMPUTED_VALUE"""),522.04)</f>
        <v>522.04</v>
      </c>
      <c r="D30" s="22">
        <f>IFERROR(__xludf.DUMMYFUNCTION("""COMPUTED_VALUE"""),587.32)</f>
        <v>587.32</v>
      </c>
      <c r="E30" s="22" t="str">
        <f>IFERROR(__xludf.DUMMYFUNCTION("""COMPUTED_VALUE"""),"5-3-0")</f>
        <v>5-3-0</v>
      </c>
      <c r="F30" s="22" t="str">
        <f>IFERROR(__xludf.DUMMYFUNCTION("""COMPUTED_VALUE"""),"Middle")</f>
        <v>Middle</v>
      </c>
      <c r="G30" s="38" t="str">
        <f>IFERROR(__xludf.DUMMYFUNCTION("""COMPUTED_VALUE"""),"#1")</f>
        <v>#1</v>
      </c>
      <c r="H30" s="28">
        <f t="shared" si="6"/>
        <v>1</v>
      </c>
      <c r="I30" s="33" t="s">
        <v>107</v>
      </c>
      <c r="J30" s="40">
        <f t="shared" si="1"/>
        <v>5</v>
      </c>
      <c r="K30" s="40" t="str">
        <f t="shared" si="2"/>
        <v>-5</v>
      </c>
      <c r="L30" s="40" t="str">
        <f t="shared" si="3"/>
        <v>-3</v>
      </c>
      <c r="M30" s="40" t="str">
        <f t="shared" si="4"/>
        <v>-0</v>
      </c>
      <c r="N30" s="41" t="str">
        <f t="shared" si="5"/>
        <v>Q2 Reset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42" t="str">
        <f>IFERROR(__xludf.DUMMYFUNCTION("""COMPUTED_VALUE"""),"MIddle Division")</f>
        <v>MIddle Division</v>
      </c>
      <c r="B31" s="22" t="str">
        <f>IFERROR(__xludf.DUMMYFUNCTION("""COMPUTED_VALUE"""),"Total VP")</f>
        <v>Total VP</v>
      </c>
      <c r="C31" s="22" t="str">
        <f>IFERROR(__xludf.DUMMYFUNCTION("""COMPUTED_VALUE"""),"PF")</f>
        <v>PF</v>
      </c>
      <c r="D31" s="22" t="str">
        <f>IFERROR(__xludf.DUMMYFUNCTION("""COMPUTED_VALUE"""),"PP")</f>
        <v>PP</v>
      </c>
      <c r="E31" s="22" t="str">
        <f>IFERROR(__xludf.DUMMYFUNCTION("""COMPUTED_VALUE"""),"W-L-T")</f>
        <v>W-L-T</v>
      </c>
      <c r="F31" s="22"/>
      <c r="G31" s="38"/>
      <c r="H31" s="28"/>
      <c r="I31" s="33" t="s">
        <v>108</v>
      </c>
      <c r="J31" s="40">
        <f t="shared" si="1"/>
        <v>5</v>
      </c>
      <c r="K31" s="40" t="str">
        <f t="shared" si="2"/>
        <v>-5</v>
      </c>
      <c r="L31" s="40" t="str">
        <f t="shared" si="3"/>
        <v>-3</v>
      </c>
      <c r="M31" s="40" t="str">
        <f t="shared" si="4"/>
        <v>-0</v>
      </c>
      <c r="N31" s="41" t="str">
        <f t="shared" si="5"/>
        <v>Q2 Reset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42" t="str">
        <f>IFERROR(__xludf.DUMMYFUNCTION("""COMPUTED_VALUE"""),"The Meaty Ogres")</f>
        <v>The Meaty Ogres</v>
      </c>
      <c r="B32" s="22">
        <f>IFERROR(__xludf.DUMMYFUNCTION("""COMPUTED_VALUE"""),9.0)</f>
        <v>9</v>
      </c>
      <c r="C32" s="22">
        <f>IFERROR(__xludf.DUMMYFUNCTION("""COMPUTED_VALUE"""),602.0699999999999)</f>
        <v>602.07</v>
      </c>
      <c r="D32" s="22">
        <f>IFERROR(__xludf.DUMMYFUNCTION("""COMPUTED_VALUE"""),679.4200000000001)</f>
        <v>679.42</v>
      </c>
      <c r="E32" s="22" t="str">
        <f>IFERROR(__xludf.DUMMYFUNCTION("""COMPUTED_VALUE"""),"6-2-0")</f>
        <v>6-2-0</v>
      </c>
      <c r="F32" s="22" t="str">
        <f>IFERROR(__xludf.DUMMYFUNCTION("""COMPUTED_VALUE"""),"Upper")</f>
        <v>Upper</v>
      </c>
      <c r="G32" s="38" t="str">
        <f>IFERROR(__xludf.DUMMYFUNCTION("""COMPUTED_VALUE"""),"#4")</f>
        <v>#4</v>
      </c>
      <c r="H32" s="28">
        <f t="shared" ref="H32:H35" si="7">B32-left(E32,1)-right(E32,1)*0.5</f>
        <v>3</v>
      </c>
      <c r="I32" s="33" t="s">
        <v>109</v>
      </c>
      <c r="J32" s="40">
        <f t="shared" si="1"/>
        <v>5</v>
      </c>
      <c r="K32" s="40" t="str">
        <f t="shared" si="2"/>
        <v>-2</v>
      </c>
      <c r="L32" s="40" t="str">
        <f t="shared" si="3"/>
        <v>-6</v>
      </c>
      <c r="M32" s="40" t="str">
        <f t="shared" si="4"/>
        <v>-0</v>
      </c>
      <c r="N32" s="41" t="str">
        <f t="shared" si="5"/>
        <v>Q2 Reset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42" t="str">
        <f>IFERROR(__xludf.DUMMYFUNCTION("""COMPUTED_VALUE"""),"Ted Lasso")</f>
        <v>Ted Lasso</v>
      </c>
      <c r="B33" s="22">
        <f>IFERROR(__xludf.DUMMYFUNCTION("""COMPUTED_VALUE"""),7.0)</f>
        <v>7</v>
      </c>
      <c r="C33" s="22">
        <f>IFERROR(__xludf.DUMMYFUNCTION("""COMPUTED_VALUE"""),542.04)</f>
        <v>542.04</v>
      </c>
      <c r="D33" s="22">
        <f>IFERROR(__xludf.DUMMYFUNCTION("""COMPUTED_VALUE"""),607.12)</f>
        <v>607.12</v>
      </c>
      <c r="E33" s="22" t="str">
        <f>IFERROR(__xludf.DUMMYFUNCTION("""COMPUTED_VALUE"""),"5-3-0")</f>
        <v>5-3-0</v>
      </c>
      <c r="F33" s="22" t="str">
        <f>IFERROR(__xludf.DUMMYFUNCTION("""COMPUTED_VALUE"""),"Lower")</f>
        <v>Lower</v>
      </c>
      <c r="G33" s="38" t="str">
        <f>IFERROR(__xludf.DUMMYFUNCTION("""COMPUTED_VALUE"""),"#1")</f>
        <v>#1</v>
      </c>
      <c r="H33" s="28">
        <f t="shared" si="7"/>
        <v>2</v>
      </c>
      <c r="I33" s="33" t="s">
        <v>110</v>
      </c>
      <c r="J33" s="40">
        <f t="shared" si="1"/>
        <v>5</v>
      </c>
      <c r="K33" s="40" t="str">
        <f t="shared" si="2"/>
        <v>-1</v>
      </c>
      <c r="L33" s="40" t="str">
        <f t="shared" si="3"/>
        <v>-7</v>
      </c>
      <c r="M33" s="40" t="str">
        <f t="shared" si="4"/>
        <v>-0</v>
      </c>
      <c r="N33" s="41" t="str">
        <f t="shared" si="5"/>
        <v>Q2 Reset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42" t="str">
        <f>IFERROR(__xludf.DUMMYFUNCTION("""COMPUTED_VALUE"""),"2 Roops, 1 Silva")</f>
        <v>2 Roops, 1 Silva</v>
      </c>
      <c r="B34" s="22">
        <f>IFERROR(__xludf.DUMMYFUNCTION("""COMPUTED_VALUE"""),6.0)</f>
        <v>6</v>
      </c>
      <c r="C34" s="22">
        <f>IFERROR(__xludf.DUMMYFUNCTION("""COMPUTED_VALUE"""),510.02)</f>
        <v>510.02</v>
      </c>
      <c r="D34" s="22">
        <f>IFERROR(__xludf.DUMMYFUNCTION("""COMPUTED_VALUE"""),639.56)</f>
        <v>639.56</v>
      </c>
      <c r="E34" s="22" t="str">
        <f>IFERROR(__xludf.DUMMYFUNCTION("""COMPUTED_VALUE"""),"4-4-0")</f>
        <v>4-4-0</v>
      </c>
      <c r="F34" s="22" t="str">
        <f>IFERROR(__xludf.DUMMYFUNCTION("""COMPUTED_VALUE"""),"Middle")</f>
        <v>Middle</v>
      </c>
      <c r="G34" s="38" t="str">
        <f>IFERROR(__xludf.DUMMYFUNCTION("""COMPUTED_VALUE"""),"#3")</f>
        <v>#3</v>
      </c>
      <c r="H34" s="28">
        <f t="shared" si="7"/>
        <v>2</v>
      </c>
      <c r="I34" s="33" t="s">
        <v>111</v>
      </c>
      <c r="J34" s="40">
        <f t="shared" si="1"/>
        <v>5</v>
      </c>
      <c r="K34" s="40" t="str">
        <f t="shared" si="2"/>
        <v>-3</v>
      </c>
      <c r="L34" s="40" t="str">
        <f t="shared" si="3"/>
        <v>-5</v>
      </c>
      <c r="M34" s="40" t="str">
        <f t="shared" si="4"/>
        <v>-0</v>
      </c>
      <c r="N34" s="41" t="str">
        <f t="shared" si="5"/>
        <v>Q2 Reset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42" t="str">
        <f>IFERROR(__xludf.DUMMYFUNCTION("""COMPUTED_VALUE"""),"Springfield Isotopes")</f>
        <v>Springfield Isotopes</v>
      </c>
      <c r="B35" s="22">
        <f>IFERROR(__xludf.DUMMYFUNCTION("""COMPUTED_VALUE"""),4.0)</f>
        <v>4</v>
      </c>
      <c r="C35" s="22">
        <f>IFERROR(__xludf.DUMMYFUNCTION("""COMPUTED_VALUE"""),521.79)</f>
        <v>521.79</v>
      </c>
      <c r="D35" s="22">
        <f>IFERROR(__xludf.DUMMYFUNCTION("""COMPUTED_VALUE"""),609.8)</f>
        <v>609.8</v>
      </c>
      <c r="E35" s="22" t="str">
        <f>IFERROR(__xludf.DUMMYFUNCTION("""COMPUTED_VALUE"""),"3-5-0")</f>
        <v>3-5-0</v>
      </c>
      <c r="F35" s="22" t="str">
        <f>IFERROR(__xludf.DUMMYFUNCTION("""COMPUTED_VALUE"""),"Middle")</f>
        <v>Middle</v>
      </c>
      <c r="G35" s="38" t="str">
        <f>IFERROR(__xludf.DUMMYFUNCTION("""COMPUTED_VALUE"""),"#3")</f>
        <v>#3</v>
      </c>
      <c r="H35" s="28">
        <f t="shared" si="7"/>
        <v>1</v>
      </c>
      <c r="I35" s="33" t="s">
        <v>112</v>
      </c>
      <c r="J35" s="40">
        <f t="shared" si="1"/>
        <v>5</v>
      </c>
      <c r="K35" s="40" t="str">
        <f t="shared" si="2"/>
        <v>-6</v>
      </c>
      <c r="L35" s="40" t="str">
        <f t="shared" si="3"/>
        <v>-2</v>
      </c>
      <c r="M35" s="40" t="str">
        <f t="shared" si="4"/>
        <v>-0</v>
      </c>
      <c r="N35" s="41" t="str">
        <f t="shared" si="5"/>
        <v>Q2 Reset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42" t="str">
        <f>IFERROR(__xludf.DUMMYFUNCTION("""COMPUTED_VALUE"""),"Lower Division")</f>
        <v>Lower Division</v>
      </c>
      <c r="B36" s="22" t="str">
        <f>IFERROR(__xludf.DUMMYFUNCTION("""COMPUTED_VALUE"""),"Total VP")</f>
        <v>Total VP</v>
      </c>
      <c r="C36" s="22" t="str">
        <f>IFERROR(__xludf.DUMMYFUNCTION("""COMPUTED_VALUE"""),"PF")</f>
        <v>PF</v>
      </c>
      <c r="D36" s="22" t="str">
        <f>IFERROR(__xludf.DUMMYFUNCTION("""COMPUTED_VALUE"""),"PP")</f>
        <v>PP</v>
      </c>
      <c r="E36" s="22" t="str">
        <f>IFERROR(__xludf.DUMMYFUNCTION("""COMPUTED_VALUE"""),"W-L-T")</f>
        <v>W-L-T</v>
      </c>
      <c r="F36" s="22"/>
      <c r="G36" s="38"/>
      <c r="H36" s="28"/>
      <c r="I36" s="33" t="s">
        <v>113</v>
      </c>
      <c r="J36" s="40">
        <f t="shared" si="1"/>
        <v>5</v>
      </c>
      <c r="K36" s="40" t="str">
        <f t="shared" si="2"/>
        <v>-1</v>
      </c>
      <c r="L36" s="40" t="str">
        <f t="shared" si="3"/>
        <v>-7</v>
      </c>
      <c r="M36" s="40" t="str">
        <f t="shared" si="4"/>
        <v>-0</v>
      </c>
      <c r="N36" s="41" t="str">
        <f t="shared" si="5"/>
        <v>Q2 Reset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42" t="str">
        <f>IFERROR(__xludf.DUMMYFUNCTION("""COMPUTED_VALUE"""),"Hamsterdam")</f>
        <v>Hamsterdam</v>
      </c>
      <c r="B37" s="22">
        <f>IFERROR(__xludf.DUMMYFUNCTION("""COMPUTED_VALUE"""),6.0)</f>
        <v>6</v>
      </c>
      <c r="C37" s="22">
        <f>IFERROR(__xludf.DUMMYFUNCTION("""COMPUTED_VALUE"""),443.19999999999993)</f>
        <v>443.2</v>
      </c>
      <c r="D37" s="22">
        <f>IFERROR(__xludf.DUMMYFUNCTION("""COMPUTED_VALUE"""),549.27)</f>
        <v>549.27</v>
      </c>
      <c r="E37" s="22" t="str">
        <f>IFERROR(__xludf.DUMMYFUNCTION("""COMPUTED_VALUE"""),"3-5-0")</f>
        <v>3-5-0</v>
      </c>
      <c r="F37" s="22" t="str">
        <f>IFERROR(__xludf.DUMMYFUNCTION("""COMPUTED_VALUE"""),"Middle")</f>
        <v>Middle</v>
      </c>
      <c r="G37" s="38" t="str">
        <f>IFERROR(__xludf.DUMMYFUNCTION("""COMPUTED_VALUE"""),"#4")</f>
        <v>#4</v>
      </c>
      <c r="H37" s="28">
        <f t="shared" ref="H37:H40" si="8">B37-left(E37,1)-right(E37,1)*0.5</f>
        <v>3</v>
      </c>
      <c r="I37" s="43" t="s">
        <v>114</v>
      </c>
      <c r="J37" s="44">
        <f t="shared" si="1"/>
        <v>5</v>
      </c>
      <c r="K37" s="44" t="str">
        <f t="shared" si="2"/>
        <v>-4</v>
      </c>
      <c r="L37" s="44" t="str">
        <f t="shared" si="3"/>
        <v>-4</v>
      </c>
      <c r="M37" s="44" t="str">
        <f t="shared" si="4"/>
        <v>-0</v>
      </c>
      <c r="N37" s="45" t="str">
        <f t="shared" si="5"/>
        <v>Q2 Reset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42" t="str">
        <f>IFERROR(__xludf.DUMMYFUNCTION("""COMPUTED_VALUE"""),"Norsemen")</f>
        <v>Norsemen</v>
      </c>
      <c r="B38" s="22">
        <f>IFERROR(__xludf.DUMMYFUNCTION("""COMPUTED_VALUE"""),4.0)</f>
        <v>4</v>
      </c>
      <c r="C38" s="22">
        <f>IFERROR(__xludf.DUMMYFUNCTION("""COMPUTED_VALUE"""),445.49)</f>
        <v>445.49</v>
      </c>
      <c r="D38" s="22">
        <f>IFERROR(__xludf.DUMMYFUNCTION("""COMPUTED_VALUE"""),559.23)</f>
        <v>559.23</v>
      </c>
      <c r="E38" s="22" t="str">
        <f>IFERROR(__xludf.DUMMYFUNCTION("""COMPUTED_VALUE"""),"2-6-0")</f>
        <v>2-6-0</v>
      </c>
      <c r="F38" s="22" t="str">
        <f>IFERROR(__xludf.DUMMYFUNCTION("""COMPUTED_VALUE"""),"Lower")</f>
        <v>Lower</v>
      </c>
      <c r="G38" s="38" t="str">
        <f>IFERROR(__xludf.DUMMYFUNCTION("""COMPUTED_VALUE"""),"#2")</f>
        <v>#2</v>
      </c>
      <c r="H38" s="28">
        <f t="shared" si="8"/>
        <v>2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42" t="str">
        <f>IFERROR(__xludf.DUMMYFUNCTION("""COMPUTED_VALUE"""),"The Two Tones")</f>
        <v>The Two Tones</v>
      </c>
      <c r="B39" s="22">
        <f>IFERROR(__xludf.DUMMYFUNCTION("""COMPUTED_VALUE"""),3.0)</f>
        <v>3</v>
      </c>
      <c r="C39" s="22">
        <f>IFERROR(__xludf.DUMMYFUNCTION("""COMPUTED_VALUE"""),383.66)</f>
        <v>383.66</v>
      </c>
      <c r="D39" s="22">
        <f>IFERROR(__xludf.DUMMYFUNCTION("""COMPUTED_VALUE"""),477.72)</f>
        <v>477.72</v>
      </c>
      <c r="E39" s="22" t="str">
        <f>IFERROR(__xludf.DUMMYFUNCTION("""COMPUTED_VALUE"""),"1-7-0")</f>
        <v>1-7-0</v>
      </c>
      <c r="F39" s="22" t="str">
        <f>IFERROR(__xludf.DUMMYFUNCTION("""COMPUTED_VALUE"""),"Lower")</f>
        <v>Lower</v>
      </c>
      <c r="G39" s="38" t="str">
        <f>IFERROR(__xludf.DUMMYFUNCTION("""COMPUTED_VALUE"""),"#3")</f>
        <v>#3</v>
      </c>
      <c r="H39" s="28">
        <f t="shared" si="8"/>
        <v>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6" t="str">
        <f>IFERROR(__xludf.DUMMYFUNCTION("""COMPUTED_VALUE"""),"The Wild Cards")</f>
        <v>The Wild Cards</v>
      </c>
      <c r="B40" s="47">
        <f>IFERROR(__xludf.DUMMYFUNCTION("""COMPUTED_VALUE"""),2.0)</f>
        <v>2</v>
      </c>
      <c r="C40" s="47">
        <f>IFERROR(__xludf.DUMMYFUNCTION("""COMPUTED_VALUE"""),435.18)</f>
        <v>435.18</v>
      </c>
      <c r="D40" s="47">
        <f>IFERROR(__xludf.DUMMYFUNCTION("""COMPUTED_VALUE"""),502.48)</f>
        <v>502.48</v>
      </c>
      <c r="E40" s="47" t="str">
        <f>IFERROR(__xludf.DUMMYFUNCTION("""COMPUTED_VALUE"""),"1-7-0")</f>
        <v>1-7-0</v>
      </c>
      <c r="F40" s="47" t="str">
        <f>IFERROR(__xludf.DUMMYFUNCTION("""COMPUTED_VALUE"""),"Lower")</f>
        <v>Lower</v>
      </c>
      <c r="G40" s="48" t="str">
        <f>IFERROR(__xludf.DUMMYFUNCTION("""COMPUTED_VALUE"""),"#4")</f>
        <v>#4</v>
      </c>
      <c r="H40" s="28">
        <f t="shared" si="8"/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"/>
      <c r="B41" s="3"/>
      <c r="C41" s="3"/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3" t="s">
        <v>115</v>
      </c>
      <c r="B42" s="3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1" t="str">
        <f>"Week "&amp;$B$23+1&amp;" - From Results &amp; Standings sheet"</f>
        <v>Week 5 - From Results &amp; Standings sheet</v>
      </c>
      <c r="B43" s="3"/>
      <c r="C43" s="3"/>
      <c r="D43" s="3"/>
      <c r="E43" s="3"/>
      <c r="F43" s="3"/>
      <c r="G43" s="4"/>
      <c r="H43" s="4"/>
      <c r="I43" s="12" t="s">
        <v>94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9" t="str">
        <f>IFERROR(__xludf.DUMMYFUNCTION("importrange($D$21,""W""&amp;$B$23+1&amp;""!F3:K18"")"),"")</f>
        <v/>
      </c>
      <c r="B44" s="30" t="str">
        <f>IFERROR(__xludf.DUMMYFUNCTION("""COMPUTED_VALUE"""),"This Week")</f>
        <v>This Week</v>
      </c>
      <c r="C44" s="30"/>
      <c r="D44" s="30"/>
      <c r="E44" s="30"/>
      <c r="F44" s="49"/>
      <c r="G44" s="4"/>
      <c r="H44" s="4"/>
      <c r="I44" s="13" t="s">
        <v>115</v>
      </c>
      <c r="J44" s="50" t="s">
        <v>116</v>
      </c>
      <c r="K44" s="51"/>
      <c r="L44" s="51"/>
      <c r="M44" s="5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2" t="str">
        <f>IFERROR(__xludf.DUMMYFUNCTION("""COMPUTED_VALUE"""),"Upper Division")</f>
        <v>Upper Division</v>
      </c>
      <c r="B45" s="22" t="str">
        <f>IFERROR(__xludf.DUMMYFUNCTION("""COMPUTED_VALUE"""),"VP Won")</f>
        <v>VP Won</v>
      </c>
      <c r="C45" s="22" t="str">
        <f>IFERROR(__xludf.DUMMYFUNCTION("""COMPUTED_VALUE"""),"PF")</f>
        <v>PF</v>
      </c>
      <c r="D45" s="22" t="str">
        <f>IFERROR(__xludf.DUMMYFUNCTION("""COMPUTED_VALUE"""),"Div VP")</f>
        <v>Div VP</v>
      </c>
      <c r="E45" s="22" t="str">
        <f>IFERROR(__xludf.DUMMYFUNCTION("""COMPUTED_VALUE"""),"W-L-T")</f>
        <v>W-L-T</v>
      </c>
      <c r="F45" s="53" t="str">
        <f>IFERROR(__xludf.DUMMYFUNCTION("""COMPUTED_VALUE"""),"H2H VP")</f>
        <v>H2H VP</v>
      </c>
      <c r="G45" s="4"/>
      <c r="H45" s="4"/>
      <c r="I45" s="54" t="s">
        <v>96</v>
      </c>
      <c r="J45" s="55" t="s">
        <v>97</v>
      </c>
      <c r="K45" s="56" t="s">
        <v>117</v>
      </c>
      <c r="L45" s="55" t="s">
        <v>101</v>
      </c>
      <c r="M45" s="5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2" t="str">
        <f>IFERROR(__xludf.DUMMYFUNCTION("""COMPUTED_VALUE"""),"BattleBots")</f>
        <v>BattleBots</v>
      </c>
      <c r="B46" s="22">
        <f>IFERROR(__xludf.DUMMYFUNCTION("""COMPUTED_VALUE"""),1.0)</f>
        <v>1</v>
      </c>
      <c r="C46" s="22">
        <f>IFERROR(__xludf.DUMMYFUNCTION("""COMPUTED_VALUE"""),139.98)</f>
        <v>139.98</v>
      </c>
      <c r="D46" s="22">
        <f>IFERROR(__xludf.DUMMYFUNCTION("""COMPUTED_VALUE"""),1.0)</f>
        <v>1</v>
      </c>
      <c r="E46" s="22" t="str">
        <f>IFERROR(__xludf.DUMMYFUNCTION("""COMPUTED_VALUE"""),"0-2-0")</f>
        <v>0-2-0</v>
      </c>
      <c r="F46" s="53">
        <f>IFERROR(__xludf.DUMMYFUNCTION("""COMPUTED_VALUE"""),0.0)</f>
        <v>0</v>
      </c>
      <c r="G46" s="4"/>
      <c r="H46" s="4"/>
      <c r="I46" s="58" t="s">
        <v>103</v>
      </c>
      <c r="J46" s="59">
        <f t="shared" ref="J46:J57" si="9">$B$23+1</f>
        <v>5</v>
      </c>
      <c r="K46" s="59">
        <f t="shared" ref="K46:K57" si="10">-vlookup($I46,$A$25:$H$40,8,false)+vlookup($I46,$A$44:$F$59,4,false)</f>
        <v>-1</v>
      </c>
      <c r="L46" s="52" t="str">
        <f t="shared" ref="L46:L57" si="11">if(value($B$23)=4,"Q2 Reset",IF(value($B$23)=8,"Q3 Reset"))&amp;IF(vlookup($I46,$A$44:$D$59,4,false)," + In-Division Top 2 Score","")</f>
        <v>Q2 Reset + In-Division Top 2 Score</v>
      </c>
      <c r="M46" s="6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2" t="str">
        <f>IFERROR(__xludf.DUMMYFUNCTION("""COMPUTED_VALUE"""),"Orcan Terror")</f>
        <v>Orcan Terror</v>
      </c>
      <c r="B47" s="22">
        <f>IFERROR(__xludf.DUMMYFUNCTION("""COMPUTED_VALUE"""),3.0)</f>
        <v>3</v>
      </c>
      <c r="C47" s="22">
        <f>IFERROR(__xludf.DUMMYFUNCTION("""COMPUTED_VALUE"""),159.5)</f>
        <v>159.5</v>
      </c>
      <c r="D47" s="22">
        <f>IFERROR(__xludf.DUMMYFUNCTION("""COMPUTED_VALUE"""),1.0)</f>
        <v>1</v>
      </c>
      <c r="E47" s="22" t="str">
        <f>IFERROR(__xludf.DUMMYFUNCTION("""COMPUTED_VALUE"""),"2-0-0")</f>
        <v>2-0-0</v>
      </c>
      <c r="F47" s="53">
        <f>IFERROR(__xludf.DUMMYFUNCTION("""COMPUTED_VALUE"""),2.0)</f>
        <v>2</v>
      </c>
      <c r="G47" s="4"/>
      <c r="H47" s="4"/>
      <c r="I47" s="58" t="s">
        <v>104</v>
      </c>
      <c r="J47" s="59">
        <f t="shared" si="9"/>
        <v>5</v>
      </c>
      <c r="K47" s="59">
        <f t="shared" si="10"/>
        <v>-3</v>
      </c>
      <c r="L47" s="52" t="str">
        <f t="shared" si="11"/>
        <v>Q2 Reset + In-Division Top 2 Score</v>
      </c>
      <c r="M47" s="6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2" t="str">
        <f>IFERROR(__xludf.DUMMYFUNCTION("""COMPUTED_VALUE"""),"Peaky Fookin Blinders")</f>
        <v>Peaky Fookin Blinders</v>
      </c>
      <c r="B48" s="22">
        <f>IFERROR(__xludf.DUMMYFUNCTION("""COMPUTED_VALUE"""),0.0)</f>
        <v>0</v>
      </c>
      <c r="C48" s="22">
        <f>IFERROR(__xludf.DUMMYFUNCTION("""COMPUTED_VALUE"""),108.52)</f>
        <v>108.52</v>
      </c>
      <c r="D48" s="22"/>
      <c r="E48" s="22" t="str">
        <f>IFERROR(__xludf.DUMMYFUNCTION("""COMPUTED_VALUE"""),"0-2-0")</f>
        <v>0-2-0</v>
      </c>
      <c r="F48" s="53">
        <f>IFERROR(__xludf.DUMMYFUNCTION("""COMPUTED_VALUE"""),0.0)</f>
        <v>0</v>
      </c>
      <c r="G48" s="4"/>
      <c r="H48" s="4"/>
      <c r="I48" s="58" t="s">
        <v>105</v>
      </c>
      <c r="J48" s="59">
        <f t="shared" si="9"/>
        <v>5</v>
      </c>
      <c r="K48" s="59">
        <f t="shared" si="10"/>
        <v>0</v>
      </c>
      <c r="L48" s="52" t="str">
        <f t="shared" si="11"/>
        <v>Q2 Reset + In-Division Top 2 Score</v>
      </c>
      <c r="M48" s="6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2" t="str">
        <f>IFERROR(__xludf.DUMMYFUNCTION("""COMPUTED_VALUE"""),"The Meaty Ogres")</f>
        <v>The Meaty Ogres</v>
      </c>
      <c r="B49" s="22">
        <f>IFERROR(__xludf.DUMMYFUNCTION("""COMPUTED_VALUE"""),1.0)</f>
        <v>1</v>
      </c>
      <c r="C49" s="22">
        <f>IFERROR(__xludf.DUMMYFUNCTION("""COMPUTED_VALUE"""),96.13)</f>
        <v>96.13</v>
      </c>
      <c r="D49" s="22"/>
      <c r="E49" s="22" t="str">
        <f>IFERROR(__xludf.DUMMYFUNCTION("""COMPUTED_VALUE"""),"1-1-0")</f>
        <v>1-1-0</v>
      </c>
      <c r="F49" s="53">
        <f>IFERROR(__xludf.DUMMYFUNCTION("""COMPUTED_VALUE"""),1.0)</f>
        <v>1</v>
      </c>
      <c r="G49" s="4"/>
      <c r="H49" s="4"/>
      <c r="I49" s="58" t="s">
        <v>106</v>
      </c>
      <c r="J49" s="59">
        <f t="shared" si="9"/>
        <v>5</v>
      </c>
      <c r="K49" s="59">
        <f t="shared" si="10"/>
        <v>-3</v>
      </c>
      <c r="L49" s="52" t="str">
        <f t="shared" si="11"/>
        <v>Q2 Reset</v>
      </c>
      <c r="M49" s="6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2" t="str">
        <f>IFERROR(__xludf.DUMMYFUNCTION("""COMPUTED_VALUE"""),"MIddle Division")</f>
        <v>MIddle Division</v>
      </c>
      <c r="B50" s="22" t="str">
        <f>IFERROR(__xludf.DUMMYFUNCTION("""COMPUTED_VALUE"""),"VP Won")</f>
        <v>VP Won</v>
      </c>
      <c r="C50" s="22" t="str">
        <f>IFERROR(__xludf.DUMMYFUNCTION("""COMPUTED_VALUE"""),"PF")</f>
        <v>PF</v>
      </c>
      <c r="D50" s="22" t="str">
        <f>IFERROR(__xludf.DUMMYFUNCTION("""COMPUTED_VALUE"""),"Div VP")</f>
        <v>Div VP</v>
      </c>
      <c r="E50" s="22" t="str">
        <f>IFERROR(__xludf.DUMMYFUNCTION("""COMPUTED_VALUE"""),"W-L-T")</f>
        <v>W-L-T</v>
      </c>
      <c r="F50" s="53" t="str">
        <f>IFERROR(__xludf.DUMMYFUNCTION("""COMPUTED_VALUE"""),"H2H VP")</f>
        <v>H2H VP</v>
      </c>
      <c r="G50" s="4"/>
      <c r="H50" s="4"/>
      <c r="I50" s="58" t="s">
        <v>107</v>
      </c>
      <c r="J50" s="59">
        <f t="shared" si="9"/>
        <v>5</v>
      </c>
      <c r="K50" s="59">
        <f t="shared" si="10"/>
        <v>-1</v>
      </c>
      <c r="L50" s="52" t="str">
        <f t="shared" si="11"/>
        <v>Q2 Reset</v>
      </c>
      <c r="M50" s="6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2" t="str">
        <f>IFERROR(__xludf.DUMMYFUNCTION("""COMPUTED_VALUE"""),"Shankly's Ghost")</f>
        <v>Shankly's Ghost</v>
      </c>
      <c r="B51" s="22">
        <f>IFERROR(__xludf.DUMMYFUNCTION("""COMPUTED_VALUE"""),3.0)</f>
        <v>3</v>
      </c>
      <c r="C51" s="22">
        <f>IFERROR(__xludf.DUMMYFUNCTION("""COMPUTED_VALUE"""),152.92)</f>
        <v>152.92</v>
      </c>
      <c r="D51" s="22">
        <f>IFERROR(__xludf.DUMMYFUNCTION("""COMPUTED_VALUE"""),1.0)</f>
        <v>1</v>
      </c>
      <c r="E51" s="22" t="str">
        <f>IFERROR(__xludf.DUMMYFUNCTION("""COMPUTED_VALUE"""),"2-0-0")</f>
        <v>2-0-0</v>
      </c>
      <c r="F51" s="53">
        <f>IFERROR(__xludf.DUMMYFUNCTION("""COMPUTED_VALUE"""),2.0)</f>
        <v>2</v>
      </c>
      <c r="G51" s="4"/>
      <c r="H51" s="4"/>
      <c r="I51" s="58" t="s">
        <v>108</v>
      </c>
      <c r="J51" s="59">
        <f t="shared" si="9"/>
        <v>5</v>
      </c>
      <c r="K51" s="59">
        <f t="shared" si="10"/>
        <v>-1</v>
      </c>
      <c r="L51" s="52" t="str">
        <f t="shared" si="11"/>
        <v>Q2 Reset + In-Division Top 2 Score</v>
      </c>
      <c r="M51" s="6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2" t="str">
        <f>IFERROR(__xludf.DUMMYFUNCTION("""COMPUTED_VALUE"""),"2 Roops, 1 Silva")</f>
        <v>2 Roops, 1 Silva</v>
      </c>
      <c r="B52" s="22">
        <f>IFERROR(__xludf.DUMMYFUNCTION("""COMPUTED_VALUE"""),2.0)</f>
        <v>2</v>
      </c>
      <c r="C52" s="22">
        <f>IFERROR(__xludf.DUMMYFUNCTION("""COMPUTED_VALUE"""),139.7)</f>
        <v>139.7</v>
      </c>
      <c r="D52" s="22">
        <f>IFERROR(__xludf.DUMMYFUNCTION("""COMPUTED_VALUE"""),1.0)</f>
        <v>1</v>
      </c>
      <c r="E52" s="22" t="str">
        <f>IFERROR(__xludf.DUMMYFUNCTION("""COMPUTED_VALUE"""),"1-1-0")</f>
        <v>1-1-0</v>
      </c>
      <c r="F52" s="53">
        <f>IFERROR(__xludf.DUMMYFUNCTION("""COMPUTED_VALUE"""),1.0)</f>
        <v>1</v>
      </c>
      <c r="G52" s="4"/>
      <c r="H52" s="4"/>
      <c r="I52" s="58" t="s">
        <v>109</v>
      </c>
      <c r="J52" s="59">
        <f t="shared" si="9"/>
        <v>5</v>
      </c>
      <c r="K52" s="59">
        <f t="shared" si="10"/>
        <v>-1</v>
      </c>
      <c r="L52" s="52" t="str">
        <f t="shared" si="11"/>
        <v>Q2 Reset + In-Division Top 2 Score</v>
      </c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2" t="str">
        <f>IFERROR(__xludf.DUMMYFUNCTION("""COMPUTED_VALUE"""),"Springfield Isotopes")</f>
        <v>Springfield Isotopes</v>
      </c>
      <c r="B53" s="22">
        <f>IFERROR(__xludf.DUMMYFUNCTION("""COMPUTED_VALUE"""),2.0)</f>
        <v>2</v>
      </c>
      <c r="C53" s="22">
        <f>IFERROR(__xludf.DUMMYFUNCTION("""COMPUTED_VALUE"""),130.69)</f>
        <v>130.69</v>
      </c>
      <c r="D53" s="22"/>
      <c r="E53" s="22" t="str">
        <f>IFERROR(__xludf.DUMMYFUNCTION("""COMPUTED_VALUE"""),"2-0-0")</f>
        <v>2-0-0</v>
      </c>
      <c r="F53" s="53">
        <f>IFERROR(__xludf.DUMMYFUNCTION("""COMPUTED_VALUE"""),2.0)</f>
        <v>2</v>
      </c>
      <c r="G53" s="4"/>
      <c r="H53" s="4"/>
      <c r="I53" s="58" t="s">
        <v>110</v>
      </c>
      <c r="J53" s="59">
        <f t="shared" si="9"/>
        <v>5</v>
      </c>
      <c r="K53" s="59">
        <f t="shared" si="10"/>
        <v>-2</v>
      </c>
      <c r="L53" s="52" t="str">
        <f t="shared" si="11"/>
        <v>Q2 Reset</v>
      </c>
      <c r="M53" s="6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2" t="str">
        <f>IFERROR(__xludf.DUMMYFUNCTION("""COMPUTED_VALUE"""),"Hamsterdam")</f>
        <v>Hamsterdam</v>
      </c>
      <c r="B54" s="22">
        <f>IFERROR(__xludf.DUMMYFUNCTION("""COMPUTED_VALUE"""),2.0)</f>
        <v>2</v>
      </c>
      <c r="C54" s="22">
        <f>IFERROR(__xludf.DUMMYFUNCTION("""COMPUTED_VALUE"""),112.26)</f>
        <v>112.26</v>
      </c>
      <c r="D54" s="22"/>
      <c r="E54" s="22" t="str">
        <f>IFERROR(__xludf.DUMMYFUNCTION("""COMPUTED_VALUE"""),"2-0-0")</f>
        <v>2-0-0</v>
      </c>
      <c r="F54" s="53">
        <f>IFERROR(__xludf.DUMMYFUNCTION("""COMPUTED_VALUE"""),2.0)</f>
        <v>2</v>
      </c>
      <c r="G54" s="4"/>
      <c r="H54" s="4"/>
      <c r="I54" s="58" t="s">
        <v>111</v>
      </c>
      <c r="J54" s="59">
        <f t="shared" si="9"/>
        <v>5</v>
      </c>
      <c r="K54" s="59">
        <f t="shared" si="10"/>
        <v>-1</v>
      </c>
      <c r="L54" s="52" t="str">
        <f t="shared" si="11"/>
        <v>Q2 Reset</v>
      </c>
      <c r="M54" s="6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2" t="str">
        <f>IFERROR(__xludf.DUMMYFUNCTION("""COMPUTED_VALUE"""),"Lower Division")</f>
        <v>Lower Division</v>
      </c>
      <c r="B55" s="22" t="str">
        <f>IFERROR(__xludf.DUMMYFUNCTION("""COMPUTED_VALUE"""),"VP Won")</f>
        <v>VP Won</v>
      </c>
      <c r="C55" s="22" t="str">
        <f>IFERROR(__xludf.DUMMYFUNCTION("""COMPUTED_VALUE"""),"PF")</f>
        <v>PF</v>
      </c>
      <c r="D55" s="22" t="str">
        <f>IFERROR(__xludf.DUMMYFUNCTION("""COMPUTED_VALUE"""),"Div VP")</f>
        <v>Div VP</v>
      </c>
      <c r="E55" s="22" t="str">
        <f>IFERROR(__xludf.DUMMYFUNCTION("""COMPUTED_VALUE"""),"W-L-T")</f>
        <v>W-L-T</v>
      </c>
      <c r="F55" s="53" t="str">
        <f>IFERROR(__xludf.DUMMYFUNCTION("""COMPUTED_VALUE"""),"H2H VP")</f>
        <v>H2H VP</v>
      </c>
      <c r="G55" s="4"/>
      <c r="H55" s="4"/>
      <c r="I55" s="58" t="s">
        <v>112</v>
      </c>
      <c r="J55" s="59">
        <f t="shared" si="9"/>
        <v>5</v>
      </c>
      <c r="K55" s="59">
        <f t="shared" si="10"/>
        <v>-3</v>
      </c>
      <c r="L55" s="52" t="str">
        <f t="shared" si="11"/>
        <v>Q2 Reset</v>
      </c>
      <c r="M55" s="6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2" t="str">
        <f>IFERROR(__xludf.DUMMYFUNCTION("""COMPUTED_VALUE"""),"Ted Lasso")</f>
        <v>Ted Lasso</v>
      </c>
      <c r="B56" s="22">
        <f>IFERROR(__xludf.DUMMYFUNCTION("""COMPUTED_VALUE"""),2.0)</f>
        <v>2</v>
      </c>
      <c r="C56" s="22">
        <f>IFERROR(__xludf.DUMMYFUNCTION("""COMPUTED_VALUE"""),145.08)</f>
        <v>145.08</v>
      </c>
      <c r="D56" s="22">
        <f>IFERROR(__xludf.DUMMYFUNCTION("""COMPUTED_VALUE"""),1.0)</f>
        <v>1</v>
      </c>
      <c r="E56" s="22" t="str">
        <f>IFERROR(__xludf.DUMMYFUNCTION("""COMPUTED_VALUE"""),"1-1-0")</f>
        <v>1-1-0</v>
      </c>
      <c r="F56" s="53">
        <f>IFERROR(__xludf.DUMMYFUNCTION("""COMPUTED_VALUE"""),1.0)</f>
        <v>1</v>
      </c>
      <c r="G56" s="4"/>
      <c r="H56" s="4"/>
      <c r="I56" s="58" t="s">
        <v>113</v>
      </c>
      <c r="J56" s="59">
        <f t="shared" si="9"/>
        <v>5</v>
      </c>
      <c r="K56" s="59">
        <f t="shared" si="10"/>
        <v>-1</v>
      </c>
      <c r="L56" s="52" t="str">
        <f t="shared" si="11"/>
        <v>Q2 Reset</v>
      </c>
      <c r="M56" s="6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2" t="str">
        <f>IFERROR(__xludf.DUMMYFUNCTION("""COMPUTED_VALUE"""),"Norsemen")</f>
        <v>Norsemen</v>
      </c>
      <c r="B57" s="22">
        <f>IFERROR(__xludf.DUMMYFUNCTION("""COMPUTED_VALUE"""),1.0)</f>
        <v>1</v>
      </c>
      <c r="C57" s="22">
        <f>IFERROR(__xludf.DUMMYFUNCTION("""COMPUTED_VALUE"""),124.48)</f>
        <v>124.48</v>
      </c>
      <c r="D57" s="22">
        <f>IFERROR(__xludf.DUMMYFUNCTION("""COMPUTED_VALUE"""),1.0)</f>
        <v>1</v>
      </c>
      <c r="E57" s="22" t="str">
        <f>IFERROR(__xludf.DUMMYFUNCTION("""COMPUTED_VALUE"""),"0-2-0")</f>
        <v>0-2-0</v>
      </c>
      <c r="F57" s="53">
        <f>IFERROR(__xludf.DUMMYFUNCTION("""COMPUTED_VALUE"""),0.0)</f>
        <v>0</v>
      </c>
      <c r="G57" s="4"/>
      <c r="H57" s="4"/>
      <c r="I57" s="61" t="s">
        <v>114</v>
      </c>
      <c r="J57" s="62">
        <f t="shared" si="9"/>
        <v>5</v>
      </c>
      <c r="K57" s="62">
        <f t="shared" si="10"/>
        <v>-1</v>
      </c>
      <c r="L57" s="63" t="str">
        <f t="shared" si="11"/>
        <v>Q2 Reset + In-Division Top 2 Score</v>
      </c>
      <c r="M57" s="4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2" t="str">
        <f>IFERROR(__xludf.DUMMYFUNCTION("""COMPUTED_VALUE"""),"The Two Tones")</f>
        <v>The Two Tones</v>
      </c>
      <c r="B58" s="22">
        <f>IFERROR(__xludf.DUMMYFUNCTION("""COMPUTED_VALUE"""),1.0)</f>
        <v>1</v>
      </c>
      <c r="C58" s="22">
        <f>IFERROR(__xludf.DUMMYFUNCTION("""COMPUTED_VALUE"""),108.97)</f>
        <v>108.97</v>
      </c>
      <c r="D58" s="22"/>
      <c r="E58" s="22" t="str">
        <f>IFERROR(__xludf.DUMMYFUNCTION("""COMPUTED_VALUE"""),"1-1-0")</f>
        <v>1-1-0</v>
      </c>
      <c r="F58" s="53">
        <f>IFERROR(__xludf.DUMMYFUNCTION("""COMPUTED_VALUE"""),1.0)</f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6" t="str">
        <f>IFERROR(__xludf.DUMMYFUNCTION("""COMPUTED_VALUE"""),"The Wild Cards")</f>
        <v>The Wild Cards</v>
      </c>
      <c r="B59" s="47">
        <f>IFERROR(__xludf.DUMMYFUNCTION("""COMPUTED_VALUE"""),0.0)</f>
        <v>0</v>
      </c>
      <c r="C59" s="47">
        <f>IFERROR(__xludf.DUMMYFUNCTION("""COMPUTED_VALUE"""),79.39)</f>
        <v>79.39</v>
      </c>
      <c r="D59" s="47"/>
      <c r="E59" s="47" t="str">
        <f>IFERROR(__xludf.DUMMYFUNCTION("""COMPUTED_VALUE"""),"0-2-0")</f>
        <v>0-2-0</v>
      </c>
      <c r="F59" s="64">
        <f>IFERROR(__xludf.DUMMYFUNCTION("""COMPUTED_VALUE"""),0.0)</f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"/>
      <c r="B60" s="3"/>
      <c r="C60" s="3"/>
      <c r="D60" s="3"/>
      <c r="E60" s="3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</sheetData>
  <hyperlinks>
    <hyperlink r:id="rId1" ref="B5"/>
    <hyperlink r:id="rId2" ref="C16"/>
    <hyperlink r:id="rId3" ref="A19"/>
    <hyperlink r:id="rId4" ref="D21"/>
    <hyperlink r:id="rId5" ref="J24"/>
    <hyperlink r:id="rId6" ref="J44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</row>
    <row r="2">
      <c r="B2" s="2" t="s">
        <v>7</v>
      </c>
    </row>
    <row r="3">
      <c r="B3" s="2" t="s">
        <v>8</v>
      </c>
    </row>
    <row r="4">
      <c r="C4" s="7" t="s">
        <v>9</v>
      </c>
    </row>
    <row r="5">
      <c r="B5" s="2" t="s">
        <v>21</v>
      </c>
    </row>
    <row r="6">
      <c r="B6" s="2" t="s">
        <v>22</v>
      </c>
    </row>
  </sheetData>
  <hyperlinks>
    <hyperlink r:id="rId1" ref="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44</v>
      </c>
    </row>
    <row r="3">
      <c r="A3" s="1" t="s">
        <v>45</v>
      </c>
    </row>
    <row r="4">
      <c r="A4" s="2" t="s">
        <v>46</v>
      </c>
    </row>
    <row r="6">
      <c r="A6" s="1" t="s">
        <v>47</v>
      </c>
    </row>
    <row r="7">
      <c r="A7" s="2" t="s">
        <v>48</v>
      </c>
    </row>
    <row r="8">
      <c r="A8" s="2"/>
      <c r="B8" s="2" t="s">
        <v>49</v>
      </c>
    </row>
    <row r="9">
      <c r="A9" s="2" t="s">
        <v>50</v>
      </c>
    </row>
    <row r="10">
      <c r="B10" s="2" t="s">
        <v>51</v>
      </c>
    </row>
    <row r="11">
      <c r="B11" s="2" t="s">
        <v>52</v>
      </c>
    </row>
    <row r="12">
      <c r="C12" s="2" t="s">
        <v>53</v>
      </c>
    </row>
    <row r="13">
      <c r="C13" s="2" t="s">
        <v>55</v>
      </c>
    </row>
    <row r="15">
      <c r="A15" s="1" t="s">
        <v>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</row>
    <row r="2">
      <c r="A2" s="2" t="s">
        <v>56</v>
      </c>
    </row>
    <row r="3">
      <c r="A3" s="2" t="s">
        <v>58</v>
      </c>
    </row>
    <row r="4">
      <c r="A4" s="2" t="s">
        <v>59</v>
      </c>
    </row>
    <row r="5">
      <c r="A5" s="2" t="s">
        <v>60</v>
      </c>
    </row>
    <row r="6">
      <c r="A6" s="2" t="s">
        <v>61</v>
      </c>
    </row>
    <row r="7">
      <c r="A7" s="2" t="s">
        <v>62</v>
      </c>
    </row>
    <row r="8">
      <c r="A8" s="2" t="s">
        <v>63</v>
      </c>
    </row>
    <row r="9">
      <c r="A9" s="2" t="s">
        <v>64</v>
      </c>
    </row>
    <row r="10">
      <c r="A10" s="2" t="s">
        <v>65</v>
      </c>
    </row>
    <row r="11">
      <c r="A11" s="2" t="s">
        <v>66</v>
      </c>
    </row>
    <row r="12">
      <c r="B12" s="2" t="s">
        <v>67</v>
      </c>
    </row>
    <row r="13">
      <c r="B13" s="2" t="s">
        <v>68</v>
      </c>
    </row>
    <row r="14">
      <c r="B14" s="2" t="s">
        <v>69</v>
      </c>
    </row>
    <row r="15">
      <c r="B15" s="2" t="s">
        <v>70</v>
      </c>
    </row>
    <row r="16">
      <c r="A16" s="2" t="s">
        <v>71</v>
      </c>
    </row>
    <row r="18">
      <c r="A18" s="1" t="s">
        <v>72</v>
      </c>
    </row>
    <row r="19">
      <c r="A19" s="2" t="s">
        <v>73</v>
      </c>
    </row>
    <row r="20">
      <c r="A20" s="2" t="s">
        <v>74</v>
      </c>
    </row>
    <row r="21">
      <c r="A21" s="2" t="s">
        <v>75</v>
      </c>
    </row>
    <row r="22">
      <c r="A22" s="2" t="s">
        <v>76</v>
      </c>
    </row>
    <row r="23">
      <c r="A23" s="2" t="s">
        <v>78</v>
      </c>
    </row>
    <row r="24">
      <c r="A24" s="2" t="s">
        <v>79</v>
      </c>
    </row>
    <row r="25">
      <c r="A25" s="17"/>
    </row>
    <row r="26">
      <c r="A26" s="1" t="s">
        <v>81</v>
      </c>
    </row>
    <row r="27">
      <c r="A27" s="2" t="s">
        <v>82</v>
      </c>
    </row>
    <row r="28">
      <c r="A28" s="2"/>
      <c r="B28" s="2" t="s">
        <v>83</v>
      </c>
    </row>
    <row r="29">
      <c r="A29" s="2" t="s">
        <v>84</v>
      </c>
    </row>
    <row r="30">
      <c r="A30" s="2" t="s">
        <v>85</v>
      </c>
    </row>
    <row r="31">
      <c r="A31" s="18" t="s">
        <v>86</v>
      </c>
    </row>
    <row r="32">
      <c r="A32" s="2" t="s">
        <v>87</v>
      </c>
    </row>
    <row r="33">
      <c r="A33" s="2" t="s">
        <v>89</v>
      </c>
    </row>
    <row r="35">
      <c r="A35" s="1" t="s">
        <v>90</v>
      </c>
    </row>
    <row r="36">
      <c r="A36" s="2" t="s">
        <v>91</v>
      </c>
    </row>
    <row r="37">
      <c r="A37" s="2" t="s">
        <v>92</v>
      </c>
    </row>
  </sheetData>
  <hyperlinks>
    <hyperlink r:id="rId1" location="gid=98615385" ref="A31"/>
  </hyperlinks>
  <drawing r:id="rId2"/>
</worksheet>
</file>
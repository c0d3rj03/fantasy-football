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 Matrix" sheetId="1" r:id="rId5"/>
    <sheet state="visible" name="MFL Schedule" sheetId="2" r:id="rId6"/>
    <sheet state="visible" name="Division Placements" sheetId="3" r:id="rId7"/>
  </sheets>
  <definedNames/>
  <calcPr/>
</workbook>
</file>

<file path=xl/sharedStrings.xml><?xml version="1.0" encoding="utf-8"?>
<sst xmlns="http://schemas.openxmlformats.org/spreadsheetml/2006/main" count="550" uniqueCount="53">
  <si>
    <t>Season Schedule</t>
  </si>
  <si>
    <t>Week</t>
  </si>
  <si>
    <t>Q1</t>
  </si>
  <si>
    <t>Team 1</t>
  </si>
  <si>
    <t>Team 2</t>
  </si>
  <si>
    <t>Schedule each Quarter</t>
  </si>
  <si>
    <t>MFL Coded</t>
  </si>
  <si>
    <t>Q2</t>
  </si>
  <si>
    <t>Each week over 4 weeks, a division team will play one team from the other two divisions.</t>
  </si>
  <si>
    <t>After each quarter team "assignments" change on Promotion/Relegation event.</t>
  </si>
  <si>
    <t>Q3</t>
  </si>
  <si>
    <t>1st Quarter</t>
  </si>
  <si>
    <t>Week 1</t>
  </si>
  <si>
    <t>Upper-#1</t>
  </si>
  <si>
    <t>Week 2</t>
  </si>
  <si>
    <t>Week 3</t>
  </si>
  <si>
    <t>Week 4</t>
  </si>
  <si>
    <t>2nd Quarter</t>
  </si>
  <si>
    <t>Week 5</t>
  </si>
  <si>
    <t>Shankly's Ghost</t>
  </si>
  <si>
    <t>Week 6</t>
  </si>
  <si>
    <t>Week 7</t>
  </si>
  <si>
    <t>BattleBots</t>
  </si>
  <si>
    <t>Week 8</t>
  </si>
  <si>
    <t>3rd Quarter</t>
  </si>
  <si>
    <t>Week 9</t>
  </si>
  <si>
    <t>Week 10</t>
  </si>
  <si>
    <t>Upper-#2</t>
  </si>
  <si>
    <t>Week 11</t>
  </si>
  <si>
    <t>Week 12</t>
  </si>
  <si>
    <t>H2H #1</t>
  </si>
  <si>
    <t>Orcan Terror</t>
  </si>
  <si>
    <t>Middle-#1</t>
  </si>
  <si>
    <t>H2H #2</t>
  </si>
  <si>
    <t>Upper-#3</t>
  </si>
  <si>
    <t>Peaky Fookin Blinders</t>
  </si>
  <si>
    <t>Upper-#4</t>
  </si>
  <si>
    <t>Lower-#1</t>
  </si>
  <si>
    <t>Middle-#2</t>
  </si>
  <si>
    <t>Lower-#2</t>
  </si>
  <si>
    <t>Middle-#3</t>
  </si>
  <si>
    <t>The Meaty Ogres</t>
  </si>
  <si>
    <t>Lower-#3</t>
  </si>
  <si>
    <t>Middle-#4</t>
  </si>
  <si>
    <t>Lower-#4</t>
  </si>
  <si>
    <t>Springfield Isotopes</t>
  </si>
  <si>
    <t>2 Roops, 1 Silva</t>
  </si>
  <si>
    <t>Ted Lasso</t>
  </si>
  <si>
    <t>Hamsterdam</t>
  </si>
  <si>
    <t>The Two Tones</t>
  </si>
  <si>
    <t>Norsemen</t>
  </si>
  <si>
    <t>The Wild Cards</t>
  </si>
  <si>
    <t>Deduped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</si>
</sst>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 Narrow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 Narrow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F6B26B"/>
        <bgColor rgb="FFF6B26B"/>
      </patternFill>
    </fill>
  </fills>
  <borders count="10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4" numFmtId="0" xfId="0" applyAlignment="1" applyFill="1" applyFont="1">
      <alignment horizontal="center" readingOrder="0"/>
    </xf>
    <xf borderId="0" fillId="0" fontId="5" numFmtId="0" xfId="0" applyFont="1"/>
    <xf borderId="0" fillId="3" fontId="4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1" fillId="6" fontId="4" numFmtId="0" xfId="0" applyAlignment="1" applyBorder="1" applyFill="1" applyFont="1">
      <alignment readingOrder="0"/>
    </xf>
    <xf borderId="2" fillId="2" fontId="3" numFmtId="0" xfId="0" applyAlignment="1" applyBorder="1" applyFill="1" applyFont="1">
      <alignment readingOrder="0"/>
    </xf>
    <xf borderId="2" fillId="3" fontId="3" numFmtId="0" xfId="0" applyAlignment="1" applyBorder="1" applyFill="1" applyFont="1">
      <alignment readingOrder="0"/>
    </xf>
    <xf borderId="3" fillId="4" fontId="3" numFmtId="0" xfId="0" applyAlignment="1" applyBorder="1" applyFill="1" applyFont="1">
      <alignment readingOrder="0"/>
    </xf>
    <xf borderId="4" fillId="6" fontId="4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5" fillId="2" fontId="3" numFmtId="0" xfId="0" applyAlignment="1" applyBorder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5" fillId="3" fontId="3" numFmtId="0" xfId="0" applyAlignment="1" applyBorder="1" applyFill="1" applyFont="1">
      <alignment readingOrder="0"/>
    </xf>
    <xf borderId="0" fillId="9" fontId="4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6" fillId="4" fontId="3" numFmtId="0" xfId="0" applyAlignment="1" applyBorder="1" applyFill="1" applyFont="1">
      <alignment readingOrder="0"/>
    </xf>
    <xf borderId="0" fillId="6" fontId="4" numFmtId="0" xfId="0" applyAlignment="1" applyFill="1" applyFont="1">
      <alignment readingOrder="0"/>
    </xf>
    <xf borderId="7" fillId="6" fontId="4" numFmtId="0" xfId="0" applyAlignment="1" applyBorder="1" applyFill="1" applyFont="1">
      <alignment readingOrder="0"/>
    </xf>
    <xf borderId="0" fillId="4" fontId="3" numFmtId="0" xfId="0" applyAlignment="1" applyFill="1" applyFont="1">
      <alignment horizontal="center" readingOrder="0"/>
    </xf>
    <xf borderId="8" fillId="2" fontId="3" numFmtId="0" xfId="0" applyAlignment="1" applyBorder="1" applyFill="1" applyFont="1">
      <alignment readingOrder="0"/>
    </xf>
    <xf borderId="8" fillId="3" fontId="3" numFmtId="0" xfId="0" applyAlignment="1" applyBorder="1" applyFill="1" applyFont="1">
      <alignment readingOrder="0"/>
    </xf>
    <xf borderId="9" fillId="4" fontId="3" numFmtId="0" xfId="0" applyAlignment="1" applyBorder="1" applyFill="1" applyFont="1">
      <alignment readingOrder="0"/>
    </xf>
    <xf borderId="0" fillId="10" fontId="4" numFmtId="0" xfId="0" applyAlignment="1" applyFill="1" applyFont="1">
      <alignment readingOrder="0"/>
    </xf>
    <xf borderId="0" fillId="0" fontId="3" numFmtId="0" xfId="0" applyFont="1"/>
    <xf borderId="0" fillId="11" fontId="4" numFmtId="0" xfId="0" applyAlignment="1" applyFill="1" applyFont="1">
      <alignment readingOrder="0"/>
    </xf>
    <xf borderId="0" fillId="10" fontId="6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38"/>
    <col customWidth="1" min="2" max="9" width="9.25"/>
  </cols>
  <sheetData>
    <row r="1">
      <c r="A1" s="1" t="s">
        <v>0</v>
      </c>
    </row>
    <row r="2">
      <c r="A2" s="4"/>
    </row>
    <row r="3">
      <c r="A3" s="5" t="s">
        <v>5</v>
      </c>
      <c r="B3" s="4"/>
      <c r="C3" s="4"/>
      <c r="D3" s="4"/>
      <c r="E3" s="4"/>
      <c r="F3" s="4"/>
      <c r="G3" s="4"/>
      <c r="H3" s="4"/>
      <c r="I3" s="4"/>
    </row>
    <row r="4">
      <c r="A4" s="4" t="s">
        <v>8</v>
      </c>
    </row>
    <row r="5">
      <c r="A5" s="4" t="s">
        <v>9</v>
      </c>
    </row>
    <row r="6">
      <c r="A6" s="4"/>
    </row>
    <row r="7">
      <c r="A7" s="4" t="s">
        <v>11</v>
      </c>
      <c r="B7" s="10" t="s">
        <v>12</v>
      </c>
      <c r="D7" s="10" t="s">
        <v>14</v>
      </c>
      <c r="F7" s="10" t="s">
        <v>15</v>
      </c>
      <c r="H7" s="10" t="s">
        <v>16</v>
      </c>
    </row>
    <row r="8">
      <c r="A8" s="4" t="s">
        <v>17</v>
      </c>
      <c r="B8" s="10" t="s">
        <v>18</v>
      </c>
      <c r="D8" s="10" t="s">
        <v>20</v>
      </c>
      <c r="F8" s="10" t="s">
        <v>21</v>
      </c>
      <c r="H8" s="10" t="s">
        <v>23</v>
      </c>
    </row>
    <row r="9">
      <c r="A9" s="4" t="s">
        <v>24</v>
      </c>
      <c r="B9" s="10" t="s">
        <v>25</v>
      </c>
      <c r="D9" s="10" t="s">
        <v>26</v>
      </c>
      <c r="F9" s="10" t="s">
        <v>28</v>
      </c>
      <c r="H9" s="10" t="s">
        <v>29</v>
      </c>
    </row>
    <row r="10">
      <c r="A10" s="4"/>
      <c r="B10" s="19" t="s">
        <v>30</v>
      </c>
      <c r="C10" s="21" t="s">
        <v>33</v>
      </c>
      <c r="D10" s="19" t="s">
        <v>30</v>
      </c>
      <c r="E10" s="21" t="s">
        <v>33</v>
      </c>
      <c r="F10" s="19" t="s">
        <v>30</v>
      </c>
      <c r="G10" s="21" t="s">
        <v>33</v>
      </c>
      <c r="H10" s="19" t="s">
        <v>30</v>
      </c>
      <c r="I10" s="21" t="s">
        <v>33</v>
      </c>
    </row>
    <row r="11">
      <c r="A11" s="24" t="s">
        <v>13</v>
      </c>
      <c r="B11" s="22" t="s">
        <v>32</v>
      </c>
      <c r="C11" s="26" t="s">
        <v>37</v>
      </c>
      <c r="D11" s="22" t="s">
        <v>38</v>
      </c>
      <c r="E11" s="26" t="s">
        <v>39</v>
      </c>
      <c r="F11" s="22" t="s">
        <v>40</v>
      </c>
      <c r="G11" s="26" t="s">
        <v>42</v>
      </c>
      <c r="H11" s="22" t="s">
        <v>43</v>
      </c>
      <c r="I11" s="26" t="s">
        <v>44</v>
      </c>
    </row>
    <row r="12">
      <c r="A12" s="24" t="s">
        <v>27</v>
      </c>
      <c r="B12" s="22" t="s">
        <v>38</v>
      </c>
      <c r="C12" s="26" t="s">
        <v>39</v>
      </c>
      <c r="D12" s="22" t="s">
        <v>40</v>
      </c>
      <c r="E12" s="26" t="s">
        <v>42</v>
      </c>
      <c r="F12" s="22" t="s">
        <v>43</v>
      </c>
      <c r="G12" s="26" t="s">
        <v>44</v>
      </c>
      <c r="H12" s="22" t="s">
        <v>32</v>
      </c>
      <c r="I12" s="26" t="s">
        <v>37</v>
      </c>
    </row>
    <row r="13">
      <c r="A13" s="24" t="s">
        <v>34</v>
      </c>
      <c r="B13" s="22" t="s">
        <v>40</v>
      </c>
      <c r="C13" s="26" t="s">
        <v>42</v>
      </c>
      <c r="D13" s="22" t="s">
        <v>43</v>
      </c>
      <c r="E13" s="26" t="s">
        <v>44</v>
      </c>
      <c r="F13" s="22" t="s">
        <v>32</v>
      </c>
      <c r="G13" s="26" t="s">
        <v>37</v>
      </c>
      <c r="H13" s="22" t="s">
        <v>38</v>
      </c>
      <c r="I13" s="26" t="s">
        <v>39</v>
      </c>
    </row>
    <row r="14">
      <c r="A14" s="24" t="s">
        <v>36</v>
      </c>
      <c r="B14" s="22" t="s">
        <v>43</v>
      </c>
      <c r="C14" s="26" t="s">
        <v>44</v>
      </c>
      <c r="D14" s="22" t="s">
        <v>32</v>
      </c>
      <c r="E14" s="26" t="s">
        <v>37</v>
      </c>
      <c r="F14" s="22" t="s">
        <v>38</v>
      </c>
      <c r="G14" s="26" t="s">
        <v>39</v>
      </c>
      <c r="H14" s="22" t="s">
        <v>40</v>
      </c>
      <c r="I14" s="26" t="s">
        <v>42</v>
      </c>
    </row>
    <row r="15">
      <c r="A15" s="30" t="s">
        <v>32</v>
      </c>
      <c r="B15" s="22" t="s">
        <v>13</v>
      </c>
      <c r="C15" s="26" t="s">
        <v>37</v>
      </c>
      <c r="D15" s="22" t="s">
        <v>27</v>
      </c>
      <c r="E15" s="26" t="s">
        <v>39</v>
      </c>
      <c r="F15" s="22" t="s">
        <v>34</v>
      </c>
      <c r="G15" s="26" t="s">
        <v>42</v>
      </c>
      <c r="H15" s="22" t="s">
        <v>36</v>
      </c>
      <c r="I15" s="26" t="s">
        <v>44</v>
      </c>
    </row>
    <row r="16">
      <c r="A16" s="30" t="s">
        <v>38</v>
      </c>
      <c r="B16" s="22" t="s">
        <v>27</v>
      </c>
      <c r="C16" s="26" t="s">
        <v>39</v>
      </c>
      <c r="D16" s="22" t="s">
        <v>34</v>
      </c>
      <c r="E16" s="26" t="s">
        <v>42</v>
      </c>
      <c r="F16" s="22" t="s">
        <v>36</v>
      </c>
      <c r="G16" s="26" t="s">
        <v>44</v>
      </c>
      <c r="H16" s="22" t="s">
        <v>13</v>
      </c>
      <c r="I16" s="26" t="s">
        <v>37</v>
      </c>
    </row>
    <row r="17">
      <c r="A17" s="30" t="s">
        <v>40</v>
      </c>
      <c r="B17" s="22" t="s">
        <v>34</v>
      </c>
      <c r="C17" s="26" t="s">
        <v>42</v>
      </c>
      <c r="D17" s="22" t="s">
        <v>36</v>
      </c>
      <c r="E17" s="26" t="s">
        <v>44</v>
      </c>
      <c r="F17" s="22" t="s">
        <v>13</v>
      </c>
      <c r="G17" s="26" t="s">
        <v>37</v>
      </c>
      <c r="H17" s="22" t="s">
        <v>27</v>
      </c>
      <c r="I17" s="26" t="s">
        <v>39</v>
      </c>
    </row>
    <row r="18">
      <c r="A18" s="30" t="s">
        <v>43</v>
      </c>
      <c r="B18" s="22" t="s">
        <v>36</v>
      </c>
      <c r="C18" s="26" t="s">
        <v>44</v>
      </c>
      <c r="D18" s="22" t="s">
        <v>13</v>
      </c>
      <c r="E18" s="26" t="s">
        <v>37</v>
      </c>
      <c r="F18" s="22" t="s">
        <v>27</v>
      </c>
      <c r="G18" s="26" t="s">
        <v>39</v>
      </c>
      <c r="H18" s="22" t="s">
        <v>34</v>
      </c>
      <c r="I18" s="26" t="s">
        <v>42</v>
      </c>
    </row>
    <row r="19">
      <c r="A19" s="32" t="s">
        <v>37</v>
      </c>
      <c r="B19" s="22" t="s">
        <v>13</v>
      </c>
      <c r="C19" s="26" t="s">
        <v>32</v>
      </c>
      <c r="D19" s="22" t="s">
        <v>27</v>
      </c>
      <c r="E19" s="26" t="s">
        <v>38</v>
      </c>
      <c r="F19" s="22" t="s">
        <v>34</v>
      </c>
      <c r="G19" s="26" t="s">
        <v>40</v>
      </c>
      <c r="H19" s="22" t="s">
        <v>36</v>
      </c>
      <c r="I19" s="26" t="s">
        <v>43</v>
      </c>
    </row>
    <row r="20">
      <c r="A20" s="32" t="s">
        <v>39</v>
      </c>
      <c r="B20" s="22" t="s">
        <v>27</v>
      </c>
      <c r="C20" s="26" t="s">
        <v>38</v>
      </c>
      <c r="D20" s="22" t="s">
        <v>34</v>
      </c>
      <c r="E20" s="26" t="s">
        <v>40</v>
      </c>
      <c r="F20" s="22" t="s">
        <v>36</v>
      </c>
      <c r="G20" s="26" t="s">
        <v>43</v>
      </c>
      <c r="H20" s="22" t="s">
        <v>13</v>
      </c>
      <c r="I20" s="26" t="s">
        <v>32</v>
      </c>
    </row>
    <row r="21">
      <c r="A21" s="32" t="s">
        <v>42</v>
      </c>
      <c r="B21" s="22" t="s">
        <v>34</v>
      </c>
      <c r="C21" s="26" t="s">
        <v>40</v>
      </c>
      <c r="D21" s="22" t="s">
        <v>36</v>
      </c>
      <c r="E21" s="26" t="s">
        <v>43</v>
      </c>
      <c r="F21" s="22" t="s">
        <v>13</v>
      </c>
      <c r="G21" s="26" t="s">
        <v>32</v>
      </c>
      <c r="H21" s="22" t="s">
        <v>27</v>
      </c>
      <c r="I21" s="26" t="s">
        <v>38</v>
      </c>
    </row>
    <row r="22">
      <c r="A22" s="32" t="s">
        <v>44</v>
      </c>
      <c r="B22" s="22" t="s">
        <v>36</v>
      </c>
      <c r="C22" s="26" t="s">
        <v>43</v>
      </c>
      <c r="D22" s="22" t="s">
        <v>13</v>
      </c>
      <c r="E22" s="26" t="s">
        <v>32</v>
      </c>
      <c r="F22" s="22" t="s">
        <v>27</v>
      </c>
      <c r="G22" s="26" t="s">
        <v>38</v>
      </c>
      <c r="H22" s="22" t="s">
        <v>34</v>
      </c>
      <c r="I22" s="26" t="s">
        <v>40</v>
      </c>
    </row>
    <row r="24">
      <c r="A24" s="5" t="s">
        <v>52</v>
      </c>
    </row>
    <row r="26">
      <c r="A26" s="4" t="s">
        <v>11</v>
      </c>
      <c r="B26" s="10" t="s">
        <v>12</v>
      </c>
      <c r="D26" s="10" t="s">
        <v>14</v>
      </c>
      <c r="F26" s="10" t="s">
        <v>15</v>
      </c>
      <c r="H26" s="10" t="s">
        <v>16</v>
      </c>
    </row>
    <row r="27">
      <c r="A27" s="4" t="s">
        <v>17</v>
      </c>
      <c r="B27" s="10" t="s">
        <v>18</v>
      </c>
      <c r="D27" s="10" t="s">
        <v>20</v>
      </c>
      <c r="F27" s="10" t="s">
        <v>21</v>
      </c>
      <c r="H27" s="10" t="s">
        <v>23</v>
      </c>
    </row>
    <row r="28">
      <c r="A28" s="4" t="s">
        <v>24</v>
      </c>
      <c r="B28" s="10" t="s">
        <v>25</v>
      </c>
      <c r="D28" s="10" t="s">
        <v>26</v>
      </c>
      <c r="F28" s="10" t="s">
        <v>28</v>
      </c>
      <c r="H28" s="10" t="s">
        <v>29</v>
      </c>
    </row>
    <row r="29">
      <c r="A29" s="4"/>
      <c r="B29" s="19" t="s">
        <v>30</v>
      </c>
      <c r="C29" s="21" t="s">
        <v>33</v>
      </c>
      <c r="D29" s="19" t="s">
        <v>30</v>
      </c>
      <c r="E29" s="21" t="s">
        <v>33</v>
      </c>
      <c r="F29" s="19" t="s">
        <v>30</v>
      </c>
      <c r="G29" s="21" t="s">
        <v>33</v>
      </c>
      <c r="H29" s="19" t="s">
        <v>30</v>
      </c>
      <c r="I29" s="21" t="s">
        <v>33</v>
      </c>
    </row>
    <row r="30">
      <c r="A30" s="24" t="s">
        <v>13</v>
      </c>
      <c r="B30" s="22" t="s">
        <v>32</v>
      </c>
      <c r="C30" s="26" t="s">
        <v>37</v>
      </c>
      <c r="D30" s="22" t="s">
        <v>38</v>
      </c>
      <c r="E30" s="26" t="s">
        <v>39</v>
      </c>
      <c r="F30" s="22" t="s">
        <v>40</v>
      </c>
      <c r="G30" s="26" t="s">
        <v>42</v>
      </c>
      <c r="H30" s="22" t="s">
        <v>43</v>
      </c>
      <c r="I30" s="26" t="s">
        <v>44</v>
      </c>
    </row>
    <row r="31">
      <c r="A31" s="24" t="s">
        <v>27</v>
      </c>
      <c r="B31" s="22" t="s">
        <v>38</v>
      </c>
      <c r="C31" s="26" t="s">
        <v>39</v>
      </c>
      <c r="D31" s="22" t="s">
        <v>40</v>
      </c>
      <c r="E31" s="26" t="s">
        <v>42</v>
      </c>
      <c r="F31" s="22" t="s">
        <v>43</v>
      </c>
      <c r="G31" s="26" t="s">
        <v>44</v>
      </c>
      <c r="H31" s="22" t="s">
        <v>32</v>
      </c>
      <c r="I31" s="26" t="s">
        <v>37</v>
      </c>
    </row>
    <row r="32">
      <c r="A32" s="24" t="s">
        <v>34</v>
      </c>
      <c r="B32" s="22" t="s">
        <v>40</v>
      </c>
      <c r="C32" s="26" t="s">
        <v>42</v>
      </c>
      <c r="D32" s="22" t="s">
        <v>43</v>
      </c>
      <c r="E32" s="26" t="s">
        <v>44</v>
      </c>
      <c r="F32" s="22" t="s">
        <v>32</v>
      </c>
      <c r="G32" s="26" t="s">
        <v>37</v>
      </c>
      <c r="H32" s="22" t="s">
        <v>38</v>
      </c>
      <c r="I32" s="26" t="s">
        <v>39</v>
      </c>
    </row>
    <row r="33">
      <c r="A33" s="24" t="s">
        <v>36</v>
      </c>
      <c r="B33" s="22" t="s">
        <v>43</v>
      </c>
      <c r="C33" s="26" t="s">
        <v>44</v>
      </c>
      <c r="D33" s="22" t="s">
        <v>32</v>
      </c>
      <c r="E33" s="26" t="s">
        <v>37</v>
      </c>
      <c r="F33" s="22" t="s">
        <v>38</v>
      </c>
      <c r="G33" s="26" t="s">
        <v>39</v>
      </c>
      <c r="H33" s="22" t="s">
        <v>40</v>
      </c>
      <c r="I33" s="26" t="s">
        <v>42</v>
      </c>
    </row>
    <row r="34">
      <c r="A34" s="30" t="s">
        <v>32</v>
      </c>
      <c r="B34" s="22"/>
      <c r="C34" s="26" t="s">
        <v>37</v>
      </c>
      <c r="D34" s="22"/>
      <c r="E34" s="26" t="s">
        <v>39</v>
      </c>
      <c r="F34" s="22"/>
      <c r="G34" s="26" t="s">
        <v>42</v>
      </c>
      <c r="H34" s="22"/>
      <c r="I34" s="26" t="s">
        <v>44</v>
      </c>
    </row>
    <row r="35">
      <c r="A35" s="30" t="s">
        <v>38</v>
      </c>
      <c r="B35" s="22"/>
      <c r="C35" s="26" t="s">
        <v>39</v>
      </c>
      <c r="D35" s="22"/>
      <c r="E35" s="26" t="s">
        <v>42</v>
      </c>
      <c r="F35" s="22"/>
      <c r="G35" s="26" t="s">
        <v>44</v>
      </c>
      <c r="H35" s="22"/>
      <c r="I35" s="26" t="s">
        <v>37</v>
      </c>
    </row>
    <row r="36">
      <c r="A36" s="30" t="s">
        <v>40</v>
      </c>
      <c r="B36" s="22"/>
      <c r="C36" s="26" t="s">
        <v>42</v>
      </c>
      <c r="D36" s="22"/>
      <c r="E36" s="26" t="s">
        <v>44</v>
      </c>
      <c r="F36" s="22"/>
      <c r="G36" s="26" t="s">
        <v>37</v>
      </c>
      <c r="H36" s="22"/>
      <c r="I36" s="26" t="s">
        <v>39</v>
      </c>
    </row>
    <row r="37">
      <c r="A37" s="30" t="s">
        <v>43</v>
      </c>
      <c r="B37" s="22"/>
      <c r="C37" s="26" t="s">
        <v>44</v>
      </c>
      <c r="D37" s="22"/>
      <c r="E37" s="26" t="s">
        <v>37</v>
      </c>
      <c r="F37" s="22"/>
      <c r="G37" s="26" t="s">
        <v>39</v>
      </c>
      <c r="H37" s="22"/>
      <c r="I37" s="26" t="s">
        <v>42</v>
      </c>
    </row>
    <row r="38">
      <c r="A38" s="32" t="s">
        <v>37</v>
      </c>
      <c r="B38" s="22"/>
      <c r="C38" s="26"/>
      <c r="D38" s="22"/>
      <c r="E38" s="26"/>
      <c r="F38" s="22"/>
      <c r="G38" s="26"/>
      <c r="H38" s="22"/>
      <c r="I38" s="26"/>
    </row>
    <row r="39">
      <c r="A39" s="32" t="s">
        <v>39</v>
      </c>
      <c r="B39" s="22"/>
      <c r="C39" s="26"/>
      <c r="D39" s="22"/>
      <c r="E39" s="26"/>
      <c r="F39" s="22"/>
      <c r="G39" s="26"/>
      <c r="H39" s="22"/>
      <c r="I39" s="26"/>
    </row>
    <row r="40">
      <c r="A40" s="32" t="s">
        <v>42</v>
      </c>
      <c r="B40" s="22"/>
      <c r="C40" s="26"/>
      <c r="D40" s="22"/>
      <c r="E40" s="26"/>
      <c r="F40" s="22"/>
      <c r="G40" s="26"/>
      <c r="H40" s="22"/>
      <c r="I40" s="26"/>
    </row>
    <row r="41">
      <c r="A41" s="32" t="s">
        <v>44</v>
      </c>
      <c r="B41" s="22"/>
      <c r="C41" s="26"/>
      <c r="D41" s="22"/>
      <c r="E41" s="26"/>
      <c r="F41" s="22"/>
      <c r="G41" s="26"/>
      <c r="H41" s="22"/>
      <c r="I41" s="26"/>
    </row>
  </sheetData>
  <mergeCells count="24">
    <mergeCell ref="B7:C7"/>
    <mergeCell ref="D7:E7"/>
    <mergeCell ref="F7:G7"/>
    <mergeCell ref="H7:I7"/>
    <mergeCell ref="D8:E8"/>
    <mergeCell ref="F8:G8"/>
    <mergeCell ref="H8:I8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8:C8"/>
    <mergeCell ref="B9:C9"/>
    <mergeCell ref="D9:E9"/>
    <mergeCell ref="F9:G9"/>
    <mergeCell ref="H9:I9"/>
    <mergeCell ref="B26:C26"/>
    <mergeCell ref="D26:E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</cols>
  <sheetData>
    <row r="1" ht="13.5" customHeight="1">
      <c r="A1" s="2" t="s">
        <v>1</v>
      </c>
      <c r="B1" s="3" t="s">
        <v>3</v>
      </c>
      <c r="C1" s="3" t="s">
        <v>4</v>
      </c>
      <c r="D1" s="2" t="s">
        <v>6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6" t="str">
        <f t="shared" ref="A2:A193" si="1">"Week "&amp;quotient(row()-2,12)+1</f>
        <v>Week 1</v>
      </c>
      <c r="B2" s="18" t="s">
        <v>13</v>
      </c>
      <c r="C2" s="22" t="s">
        <v>32</v>
      </c>
      <c r="D2" s="7" t="str">
        <f>text(mid(A2,find(" ",A2)+1,2),"00")&amp;
","&amp;
ifna(text(match(vlookup(B2,'Division Placements'!$A$2:$D$13,2+quotient(row()-2,48),false),'Division Placements'!$B$16:$B$27,0),"0000"),"BYE")&amp;
","&amp;
ifna(text(match(vlookup(C2,'Division Placements'!$A$2:$D$13,2+quotient(row()-2,48),false),'Division Placements'!$B$16:$B$27,0),"0000"),"BYE")</f>
        <v>01,BYE,BYE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6" t="str">
        <f t="shared" si="1"/>
        <v>Week 1</v>
      </c>
      <c r="B3" s="18" t="s">
        <v>27</v>
      </c>
      <c r="C3" s="22" t="s">
        <v>38</v>
      </c>
      <c r="D3" s="7" t="str">
        <f>text(mid(A3,find(" ",A3)+1,2),"00")&amp;
","&amp;
ifna(text(match(vlookup(B3,'Division Placements'!$A$2:$D$13,2+quotient(row()-2,48),false),'Division Placements'!$B$16:$B$27,0),"0000"),"BYE")&amp;
","&amp;
ifna(text(match(vlookup(C3,'Division Placements'!$A$2:$D$13,2+quotient(row()-2,48),false),'Division Placements'!$B$16:$B$27,0),"0000"),"BYE")</f>
        <v>01,BYE,BYE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6" t="str">
        <f t="shared" si="1"/>
        <v>Week 1</v>
      </c>
      <c r="B4" s="18" t="s">
        <v>34</v>
      </c>
      <c r="C4" s="22" t="s">
        <v>40</v>
      </c>
      <c r="D4" s="7" t="str">
        <f>text(mid(A4,find(" ",A4)+1,2),"00")&amp;
","&amp;
ifna(text(match(vlookup(B4,'Division Placements'!$A$2:$D$13,2+quotient(row()-2,48),false),'Division Placements'!$B$16:$B$27,0),"0000"),"BYE")&amp;
","&amp;
ifna(text(match(vlookup(C4,'Division Placements'!$A$2:$D$13,2+quotient(row()-2,48),false),'Division Placements'!$B$16:$B$27,0),"0000"),"BYE")</f>
        <v>01,BYE,BYE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6" t="str">
        <f t="shared" si="1"/>
        <v>Week 1</v>
      </c>
      <c r="B5" s="18" t="s">
        <v>36</v>
      </c>
      <c r="C5" s="22" t="s">
        <v>43</v>
      </c>
      <c r="D5" s="7" t="str">
        <f>text(mid(A5,find(" ",A5)+1,2),"00")&amp;
","&amp;
ifna(text(match(vlookup(B5,'Division Placements'!$A$2:$D$13,2+quotient(row()-2,48),false),'Division Placements'!$B$16:$B$27,0),"0000"),"BYE")&amp;
","&amp;
ifna(text(match(vlookup(C5,'Division Placements'!$A$2:$D$13,2+quotient(row()-2,48),false),'Division Placements'!$B$16:$B$27,0),"0000"),"BYE")</f>
        <v>01,BYE,BYE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16" t="str">
        <f t="shared" si="1"/>
        <v>Week 1</v>
      </c>
      <c r="B6" s="18" t="s">
        <v>13</v>
      </c>
      <c r="C6" s="26" t="s">
        <v>37</v>
      </c>
      <c r="D6" s="7" t="str">
        <f>text(mid(A6,find(" ",A6)+1,2),"00")&amp;
","&amp;
ifna(text(match(vlookup(B6,'Division Placements'!$A$2:$D$13,2+quotient(row()-2,48),false),'Division Placements'!$B$16:$B$27,0),"0000"),"BYE")&amp;
","&amp;
ifna(text(match(vlookup(C6,'Division Placements'!$A$2:$D$13,2+quotient(row()-2,48),false),'Division Placements'!$B$16:$B$27,0),"0000"),"BYE")</f>
        <v>01,BYE,BYE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6" t="str">
        <f t="shared" si="1"/>
        <v>Week 1</v>
      </c>
      <c r="B7" s="18" t="s">
        <v>27</v>
      </c>
      <c r="C7" s="26" t="s">
        <v>39</v>
      </c>
      <c r="D7" s="7" t="str">
        <f>text(mid(A7,find(" ",A7)+1,2),"00")&amp;
","&amp;
ifna(text(match(vlookup(B7,'Division Placements'!$A$2:$D$13,2+quotient(row()-2,48),false),'Division Placements'!$B$16:$B$27,0),"0000"),"BYE")&amp;
","&amp;
ifna(text(match(vlookup(C7,'Division Placements'!$A$2:$D$13,2+quotient(row()-2,48),false),'Division Placements'!$B$16:$B$27,0),"0000"),"BYE")</f>
        <v>01,BYE,BYE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6" t="str">
        <f t="shared" si="1"/>
        <v>Week 1</v>
      </c>
      <c r="B8" s="18" t="s">
        <v>34</v>
      </c>
      <c r="C8" s="26" t="s">
        <v>42</v>
      </c>
      <c r="D8" s="7" t="str">
        <f>text(mid(A8,find(" ",A8)+1,2),"00")&amp;
","&amp;
ifna(text(match(vlookup(B8,'Division Placements'!$A$2:$D$13,2+quotient(row()-2,48),false),'Division Placements'!$B$16:$B$27,0),"0000"),"BYE")&amp;
","&amp;
ifna(text(match(vlookup(C8,'Division Placements'!$A$2:$D$13,2+quotient(row()-2,48),false),'Division Placements'!$B$16:$B$27,0),"0000"),"BYE")</f>
        <v>01,BYE,BYE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16" t="str">
        <f t="shared" si="1"/>
        <v>Week 1</v>
      </c>
      <c r="B9" s="18" t="s">
        <v>36</v>
      </c>
      <c r="C9" s="26" t="s">
        <v>44</v>
      </c>
      <c r="D9" s="7" t="str">
        <f>text(mid(A9,find(" ",A9)+1,2),"00")&amp;
","&amp;
ifna(text(match(vlookup(B9,'Division Placements'!$A$2:$D$13,2+quotient(row()-2,48),false),'Division Placements'!$B$16:$B$27,0),"0000"),"BYE")&amp;
","&amp;
ifna(text(match(vlookup(C9,'Division Placements'!$A$2:$D$13,2+quotient(row()-2,48),false),'Division Placements'!$B$16:$B$27,0),"0000"),"BYE")</f>
        <v>01,BYE,BYE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16" t="str">
        <f t="shared" si="1"/>
        <v>Week 1</v>
      </c>
      <c r="B10" s="33" t="s">
        <v>32</v>
      </c>
      <c r="C10" s="26" t="s">
        <v>37</v>
      </c>
      <c r="D10" s="7" t="str">
        <f>text(mid(A10,find(" ",A10)+1,2),"00")&amp;
","&amp;
ifna(text(match(vlookup(B10,'Division Placements'!$A$2:$D$13,2+quotient(row()-2,48),false),'Division Placements'!$B$16:$B$27,0),"0000"),"BYE")&amp;
","&amp;
ifna(text(match(vlookup(C10,'Division Placements'!$A$2:$D$13,2+quotient(row()-2,48),false),'Division Placements'!$B$16:$B$27,0),"0000"),"BYE")</f>
        <v>01,BYE,BYE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16" t="str">
        <f t="shared" si="1"/>
        <v>Week 1</v>
      </c>
      <c r="B11" s="33" t="s">
        <v>38</v>
      </c>
      <c r="C11" s="26" t="s">
        <v>39</v>
      </c>
      <c r="D11" s="7" t="str">
        <f>text(mid(A11,find(" ",A11)+1,2),"00")&amp;
","&amp;
ifna(text(match(vlookup(B11,'Division Placements'!$A$2:$D$13,2+quotient(row()-2,48),false),'Division Placements'!$B$16:$B$27,0),"0000"),"BYE")&amp;
","&amp;
ifna(text(match(vlookup(C11,'Division Placements'!$A$2:$D$13,2+quotient(row()-2,48),false),'Division Placements'!$B$16:$B$27,0),"0000"),"BYE")</f>
        <v>01,BYE,BYE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16" t="str">
        <f t="shared" si="1"/>
        <v>Week 1</v>
      </c>
      <c r="B12" s="33" t="s">
        <v>40</v>
      </c>
      <c r="C12" s="26" t="s">
        <v>42</v>
      </c>
      <c r="D12" s="7" t="str">
        <f>text(mid(A12,find(" ",A12)+1,2),"00")&amp;
","&amp;
ifna(text(match(vlookup(B12,'Division Placements'!$A$2:$D$13,2+quotient(row()-2,48),false),'Division Placements'!$B$16:$B$27,0),"0000"),"BYE")&amp;
","&amp;
ifna(text(match(vlookup(C12,'Division Placements'!$A$2:$D$13,2+quotient(row()-2,48),false),'Division Placements'!$B$16:$B$27,0),"0000"),"BYE")</f>
        <v>01,BYE,BYE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6" t="str">
        <f t="shared" si="1"/>
        <v>Week 1</v>
      </c>
      <c r="B13" s="33" t="s">
        <v>43</v>
      </c>
      <c r="C13" s="26" t="s">
        <v>44</v>
      </c>
      <c r="D13" s="7" t="str">
        <f>text(mid(A13,find(" ",A13)+1,2),"00")&amp;
","&amp;
ifna(text(match(vlookup(B13,'Division Placements'!$A$2:$D$13,2+quotient(row()-2,48),false),'Division Placements'!$B$16:$B$27,0),"0000"),"BYE")&amp;
","&amp;
ifna(text(match(vlookup(C13,'Division Placements'!$A$2:$D$13,2+quotient(row()-2,48),false),'Division Placements'!$B$16:$B$27,0),"0000"),"BYE")</f>
        <v>01,BYE,BYE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16" t="str">
        <f t="shared" si="1"/>
        <v>Week 2</v>
      </c>
      <c r="B14" s="18" t="s">
        <v>13</v>
      </c>
      <c r="C14" s="22" t="s">
        <v>38</v>
      </c>
      <c r="D14" s="7" t="str">
        <f>text(mid(A14,find(" ",A14)+1,2),"00")&amp;
","&amp;
ifna(text(match(vlookup(B14,'Division Placements'!$A$2:$D$13,2+quotient(row()-2,48),false),'Division Placements'!$B$16:$B$27,0),"0000"),"BYE")&amp;
","&amp;
ifna(text(match(vlookup(C14,'Division Placements'!$A$2:$D$13,2+quotient(row()-2,48),false),'Division Placements'!$B$16:$B$27,0),"0000"),"BYE")</f>
        <v>02,BYE,BYE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16" t="str">
        <f t="shared" si="1"/>
        <v>Week 2</v>
      </c>
      <c r="B15" s="18" t="s">
        <v>27</v>
      </c>
      <c r="C15" s="22" t="s">
        <v>40</v>
      </c>
      <c r="D15" s="7" t="str">
        <f>text(mid(A15,find(" ",A15)+1,2),"00")&amp;
","&amp;
ifna(text(match(vlookup(B15,'Division Placements'!$A$2:$D$13,2+quotient(row()-2,48),false),'Division Placements'!$B$16:$B$27,0),"0000"),"BYE")&amp;
","&amp;
ifna(text(match(vlookup(C15,'Division Placements'!$A$2:$D$13,2+quotient(row()-2,48),false),'Division Placements'!$B$16:$B$27,0),"0000"),"BYE")</f>
        <v>02,BYE,BYE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16" t="str">
        <f t="shared" si="1"/>
        <v>Week 2</v>
      </c>
      <c r="B16" s="18" t="s">
        <v>34</v>
      </c>
      <c r="C16" s="22" t="s">
        <v>43</v>
      </c>
      <c r="D16" s="7" t="str">
        <f>text(mid(A16,find(" ",A16)+1,2),"00")&amp;
","&amp;
ifna(text(match(vlookup(B16,'Division Placements'!$A$2:$D$13,2+quotient(row()-2,48),false),'Division Placements'!$B$16:$B$27,0),"0000"),"BYE")&amp;
","&amp;
ifna(text(match(vlookup(C16,'Division Placements'!$A$2:$D$13,2+quotient(row()-2,48),false),'Division Placements'!$B$16:$B$27,0),"0000"),"BYE")</f>
        <v>02,BYE,BYE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16" t="str">
        <f t="shared" si="1"/>
        <v>Week 2</v>
      </c>
      <c r="B17" s="18" t="s">
        <v>36</v>
      </c>
      <c r="C17" s="22" t="s">
        <v>32</v>
      </c>
      <c r="D17" s="7" t="str">
        <f>text(mid(A17,find(" ",A17)+1,2),"00")&amp;
","&amp;
ifna(text(match(vlookup(B17,'Division Placements'!$A$2:$D$13,2+quotient(row()-2,48),false),'Division Placements'!$B$16:$B$27,0),"0000"),"BYE")&amp;
","&amp;
ifna(text(match(vlookup(C17,'Division Placements'!$A$2:$D$13,2+quotient(row()-2,48),false),'Division Placements'!$B$16:$B$27,0),"0000"),"BYE")</f>
        <v>02,BYE,BYE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16" t="str">
        <f t="shared" si="1"/>
        <v>Week 2</v>
      </c>
      <c r="B18" s="18" t="s">
        <v>13</v>
      </c>
      <c r="C18" s="26" t="s">
        <v>39</v>
      </c>
      <c r="D18" s="7" t="str">
        <f>text(mid(A18,find(" ",A18)+1,2),"00")&amp;
","&amp;
ifna(text(match(vlookup(B18,'Division Placements'!$A$2:$D$13,2+quotient(row()-2,48),false),'Division Placements'!$B$16:$B$27,0),"0000"),"BYE")&amp;
","&amp;
ifna(text(match(vlookup(C18,'Division Placements'!$A$2:$D$13,2+quotient(row()-2,48),false),'Division Placements'!$B$16:$B$27,0),"0000"),"BYE")</f>
        <v>02,BYE,BYE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16" t="str">
        <f t="shared" si="1"/>
        <v>Week 2</v>
      </c>
      <c r="B19" s="18" t="s">
        <v>27</v>
      </c>
      <c r="C19" s="26" t="s">
        <v>42</v>
      </c>
      <c r="D19" s="7" t="str">
        <f>text(mid(A19,find(" ",A19)+1,2),"00")&amp;
","&amp;
ifna(text(match(vlookup(B19,'Division Placements'!$A$2:$D$13,2+quotient(row()-2,48),false),'Division Placements'!$B$16:$B$27,0),"0000"),"BYE")&amp;
","&amp;
ifna(text(match(vlookup(C19,'Division Placements'!$A$2:$D$13,2+quotient(row()-2,48),false),'Division Placements'!$B$16:$B$27,0),"0000"),"BYE")</f>
        <v>02,BYE,BYE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16" t="str">
        <f t="shared" si="1"/>
        <v>Week 2</v>
      </c>
      <c r="B20" s="18" t="s">
        <v>34</v>
      </c>
      <c r="C20" s="26" t="s">
        <v>44</v>
      </c>
      <c r="D20" s="7" t="str">
        <f>text(mid(A20,find(" ",A20)+1,2),"00")&amp;
","&amp;
ifna(text(match(vlookup(B20,'Division Placements'!$A$2:$D$13,2+quotient(row()-2,48),false),'Division Placements'!$B$16:$B$27,0),"0000"),"BYE")&amp;
","&amp;
ifna(text(match(vlookup(C20,'Division Placements'!$A$2:$D$13,2+quotient(row()-2,48),false),'Division Placements'!$B$16:$B$27,0),"0000"),"BYE")</f>
        <v>02,BYE,BYE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16" t="str">
        <f t="shared" si="1"/>
        <v>Week 2</v>
      </c>
      <c r="B21" s="18" t="s">
        <v>36</v>
      </c>
      <c r="C21" s="26" t="s">
        <v>37</v>
      </c>
      <c r="D21" s="7" t="str">
        <f>text(mid(A21,find(" ",A21)+1,2),"00")&amp;
","&amp;
ifna(text(match(vlookup(B21,'Division Placements'!$A$2:$D$13,2+quotient(row()-2,48),false),'Division Placements'!$B$16:$B$27,0),"0000"),"BYE")&amp;
","&amp;
ifna(text(match(vlookup(C21,'Division Placements'!$A$2:$D$13,2+quotient(row()-2,48),false),'Division Placements'!$B$16:$B$27,0),"0000"),"BYE")</f>
        <v>02,BYE,BYE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16" t="str">
        <f t="shared" si="1"/>
        <v>Week 2</v>
      </c>
      <c r="B22" s="33" t="s">
        <v>32</v>
      </c>
      <c r="C22" s="26" t="s">
        <v>39</v>
      </c>
      <c r="D22" s="7" t="str">
        <f>text(mid(A22,find(" ",A22)+1,2),"00")&amp;
","&amp;
ifna(text(match(vlookup(B22,'Division Placements'!$A$2:$D$13,2+quotient(row()-2,48),false),'Division Placements'!$B$16:$B$27,0),"0000"),"BYE")&amp;
","&amp;
ifna(text(match(vlookup(C22,'Division Placements'!$A$2:$D$13,2+quotient(row()-2,48),false),'Division Placements'!$B$16:$B$27,0),"0000"),"BYE")</f>
        <v>02,BYE,BYE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16" t="str">
        <f t="shared" si="1"/>
        <v>Week 2</v>
      </c>
      <c r="B23" s="33" t="s">
        <v>38</v>
      </c>
      <c r="C23" s="26" t="s">
        <v>42</v>
      </c>
      <c r="D23" s="7" t="str">
        <f>text(mid(A23,find(" ",A23)+1,2),"00")&amp;
","&amp;
ifna(text(match(vlookup(B23,'Division Placements'!$A$2:$D$13,2+quotient(row()-2,48),false),'Division Placements'!$B$16:$B$27,0),"0000"),"BYE")&amp;
","&amp;
ifna(text(match(vlookup(C23,'Division Placements'!$A$2:$D$13,2+quotient(row()-2,48),false),'Division Placements'!$B$16:$B$27,0),"0000"),"BYE")</f>
        <v>02,BYE,BYE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16" t="str">
        <f t="shared" si="1"/>
        <v>Week 2</v>
      </c>
      <c r="B24" s="33" t="s">
        <v>40</v>
      </c>
      <c r="C24" s="26" t="s">
        <v>44</v>
      </c>
      <c r="D24" s="7" t="str">
        <f>text(mid(A24,find(" ",A24)+1,2),"00")&amp;
","&amp;
ifna(text(match(vlookup(B24,'Division Placements'!$A$2:$D$13,2+quotient(row()-2,48),false),'Division Placements'!$B$16:$B$27,0),"0000"),"BYE")&amp;
","&amp;
ifna(text(match(vlookup(C24,'Division Placements'!$A$2:$D$13,2+quotient(row()-2,48),false),'Division Placements'!$B$16:$B$27,0),"0000"),"BYE")</f>
        <v>02,BYE,BYE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16" t="str">
        <f t="shared" si="1"/>
        <v>Week 2</v>
      </c>
      <c r="B25" s="33" t="s">
        <v>43</v>
      </c>
      <c r="C25" s="26" t="s">
        <v>37</v>
      </c>
      <c r="D25" s="7" t="str">
        <f>text(mid(A25,find(" ",A25)+1,2),"00")&amp;
","&amp;
ifna(text(match(vlookup(B25,'Division Placements'!$A$2:$D$13,2+quotient(row()-2,48),false),'Division Placements'!$B$16:$B$27,0),"0000"),"BYE")&amp;
","&amp;
ifna(text(match(vlookup(C25,'Division Placements'!$A$2:$D$13,2+quotient(row()-2,48),false),'Division Placements'!$B$16:$B$27,0),"0000"),"BYE")</f>
        <v>02,BYE,BYE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16" t="str">
        <f t="shared" si="1"/>
        <v>Week 3</v>
      </c>
      <c r="B26" s="18" t="s">
        <v>13</v>
      </c>
      <c r="C26" s="22" t="s">
        <v>40</v>
      </c>
      <c r="D26" s="7" t="str">
        <f>text(mid(A26,find(" ",A26)+1,2),"00")&amp;
","&amp;
ifna(text(match(vlookup(B26,'Division Placements'!$A$2:$D$13,2+quotient(row()-2,48),false),'Division Placements'!$B$16:$B$27,0),"0000"),"BYE")&amp;
","&amp;
ifna(text(match(vlookup(C26,'Division Placements'!$A$2:$D$13,2+quotient(row()-2,48),false),'Division Placements'!$B$16:$B$27,0),"0000"),"BYE")</f>
        <v>03,BYE,BYE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16" t="str">
        <f t="shared" si="1"/>
        <v>Week 3</v>
      </c>
      <c r="B27" s="18" t="s">
        <v>27</v>
      </c>
      <c r="C27" s="22" t="s">
        <v>43</v>
      </c>
      <c r="D27" s="7" t="str">
        <f>text(mid(A27,find(" ",A27)+1,2),"00")&amp;
","&amp;
ifna(text(match(vlookup(B27,'Division Placements'!$A$2:$D$13,2+quotient(row()-2,48),false),'Division Placements'!$B$16:$B$27,0),"0000"),"BYE")&amp;
","&amp;
ifna(text(match(vlookup(C27,'Division Placements'!$A$2:$D$13,2+quotient(row()-2,48),false),'Division Placements'!$B$16:$B$27,0),"0000"),"BYE")</f>
        <v>03,BYE,BYE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16" t="str">
        <f t="shared" si="1"/>
        <v>Week 3</v>
      </c>
      <c r="B28" s="18" t="s">
        <v>34</v>
      </c>
      <c r="C28" s="22" t="s">
        <v>32</v>
      </c>
      <c r="D28" s="7" t="str">
        <f>text(mid(A28,find(" ",A28)+1,2),"00")&amp;
","&amp;
ifna(text(match(vlookup(B28,'Division Placements'!$A$2:$D$13,2+quotient(row()-2,48),false),'Division Placements'!$B$16:$B$27,0),"0000"),"BYE")&amp;
","&amp;
ifna(text(match(vlookup(C28,'Division Placements'!$A$2:$D$13,2+quotient(row()-2,48),false),'Division Placements'!$B$16:$B$27,0),"0000"),"BYE")</f>
        <v>03,BYE,BYE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16" t="str">
        <f t="shared" si="1"/>
        <v>Week 3</v>
      </c>
      <c r="B29" s="18" t="s">
        <v>36</v>
      </c>
      <c r="C29" s="22" t="s">
        <v>38</v>
      </c>
      <c r="D29" s="7" t="str">
        <f>text(mid(A29,find(" ",A29)+1,2),"00")&amp;
","&amp;
ifna(text(match(vlookup(B29,'Division Placements'!$A$2:$D$13,2+quotient(row()-2,48),false),'Division Placements'!$B$16:$B$27,0),"0000"),"BYE")&amp;
","&amp;
ifna(text(match(vlookup(C29,'Division Placements'!$A$2:$D$13,2+quotient(row()-2,48),false),'Division Placements'!$B$16:$B$27,0),"0000"),"BYE")</f>
        <v>03,BYE,BYE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16" t="str">
        <f t="shared" si="1"/>
        <v>Week 3</v>
      </c>
      <c r="B30" s="18" t="s">
        <v>13</v>
      </c>
      <c r="C30" s="26" t="s">
        <v>42</v>
      </c>
      <c r="D30" s="7" t="str">
        <f>text(mid(A30,find(" ",A30)+1,2),"00")&amp;
","&amp;
ifna(text(match(vlookup(B30,'Division Placements'!$A$2:$D$13,2+quotient(row()-2,48),false),'Division Placements'!$B$16:$B$27,0),"0000"),"BYE")&amp;
","&amp;
ifna(text(match(vlookup(C30,'Division Placements'!$A$2:$D$13,2+quotient(row()-2,48),false),'Division Placements'!$B$16:$B$27,0),"0000"),"BYE")</f>
        <v>03,BYE,BYE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16" t="str">
        <f t="shared" si="1"/>
        <v>Week 3</v>
      </c>
      <c r="B31" s="18" t="s">
        <v>27</v>
      </c>
      <c r="C31" s="26" t="s">
        <v>44</v>
      </c>
      <c r="D31" s="7" t="str">
        <f>text(mid(A31,find(" ",A31)+1,2),"00")&amp;
","&amp;
ifna(text(match(vlookup(B31,'Division Placements'!$A$2:$D$13,2+quotient(row()-2,48),false),'Division Placements'!$B$16:$B$27,0),"0000"),"BYE")&amp;
","&amp;
ifna(text(match(vlookup(C31,'Division Placements'!$A$2:$D$13,2+quotient(row()-2,48),false),'Division Placements'!$B$16:$B$27,0),"0000"),"BYE")</f>
        <v>03,BYE,BYE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16" t="str">
        <f t="shared" si="1"/>
        <v>Week 3</v>
      </c>
      <c r="B32" s="18" t="s">
        <v>34</v>
      </c>
      <c r="C32" s="26" t="s">
        <v>37</v>
      </c>
      <c r="D32" s="7" t="str">
        <f>text(mid(A32,find(" ",A32)+1,2),"00")&amp;
","&amp;
ifna(text(match(vlookup(B32,'Division Placements'!$A$2:$D$13,2+quotient(row()-2,48),false),'Division Placements'!$B$16:$B$27,0),"0000"),"BYE")&amp;
","&amp;
ifna(text(match(vlookup(C32,'Division Placements'!$A$2:$D$13,2+quotient(row()-2,48),false),'Division Placements'!$B$16:$B$27,0),"0000"),"BYE")</f>
        <v>03,BYE,BYE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16" t="str">
        <f t="shared" si="1"/>
        <v>Week 3</v>
      </c>
      <c r="B33" s="18" t="s">
        <v>36</v>
      </c>
      <c r="C33" s="26" t="s">
        <v>39</v>
      </c>
      <c r="D33" s="7" t="str">
        <f>text(mid(A33,find(" ",A33)+1,2),"00")&amp;
","&amp;
ifna(text(match(vlookup(B33,'Division Placements'!$A$2:$D$13,2+quotient(row()-2,48),false),'Division Placements'!$B$16:$B$27,0),"0000"),"BYE")&amp;
","&amp;
ifna(text(match(vlookup(C33,'Division Placements'!$A$2:$D$13,2+quotient(row()-2,48),false),'Division Placements'!$B$16:$B$27,0),"0000"),"BYE")</f>
        <v>03,BYE,BYE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16" t="str">
        <f t="shared" si="1"/>
        <v>Week 3</v>
      </c>
      <c r="B34" s="33" t="s">
        <v>32</v>
      </c>
      <c r="C34" s="26" t="s">
        <v>42</v>
      </c>
      <c r="D34" s="7" t="str">
        <f>text(mid(A34,find(" ",A34)+1,2),"00")&amp;
","&amp;
ifna(text(match(vlookup(B34,'Division Placements'!$A$2:$D$13,2+quotient(row()-2,48),false),'Division Placements'!$B$16:$B$27,0),"0000"),"BYE")&amp;
","&amp;
ifna(text(match(vlookup(C34,'Division Placements'!$A$2:$D$13,2+quotient(row()-2,48),false),'Division Placements'!$B$16:$B$27,0),"0000"),"BYE")</f>
        <v>03,BYE,BYE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16" t="str">
        <f t="shared" si="1"/>
        <v>Week 3</v>
      </c>
      <c r="B35" s="33" t="s">
        <v>38</v>
      </c>
      <c r="C35" s="26" t="s">
        <v>44</v>
      </c>
      <c r="D35" s="7" t="str">
        <f>text(mid(A35,find(" ",A35)+1,2),"00")&amp;
","&amp;
ifna(text(match(vlookup(B35,'Division Placements'!$A$2:$D$13,2+quotient(row()-2,48),false),'Division Placements'!$B$16:$B$27,0),"0000"),"BYE")&amp;
","&amp;
ifna(text(match(vlookup(C35,'Division Placements'!$A$2:$D$13,2+quotient(row()-2,48),false),'Division Placements'!$B$16:$B$27,0),"0000"),"BYE")</f>
        <v>03,BYE,BYE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16" t="str">
        <f t="shared" si="1"/>
        <v>Week 3</v>
      </c>
      <c r="B36" s="33" t="s">
        <v>40</v>
      </c>
      <c r="C36" s="26" t="s">
        <v>37</v>
      </c>
      <c r="D36" s="7" t="str">
        <f>text(mid(A36,find(" ",A36)+1,2),"00")&amp;
","&amp;
ifna(text(match(vlookup(B36,'Division Placements'!$A$2:$D$13,2+quotient(row()-2,48),false),'Division Placements'!$B$16:$B$27,0),"0000"),"BYE")&amp;
","&amp;
ifna(text(match(vlookup(C36,'Division Placements'!$A$2:$D$13,2+quotient(row()-2,48),false),'Division Placements'!$B$16:$B$27,0),"0000"),"BYE")</f>
        <v>03,BYE,BYE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16" t="str">
        <f t="shared" si="1"/>
        <v>Week 3</v>
      </c>
      <c r="B37" s="33" t="s">
        <v>43</v>
      </c>
      <c r="C37" s="26" t="s">
        <v>39</v>
      </c>
      <c r="D37" s="7" t="str">
        <f>text(mid(A37,find(" ",A37)+1,2),"00")&amp;
","&amp;
ifna(text(match(vlookup(B37,'Division Placements'!$A$2:$D$13,2+quotient(row()-2,48),false),'Division Placements'!$B$16:$B$27,0),"0000"),"BYE")&amp;
","&amp;
ifna(text(match(vlookup(C37,'Division Placements'!$A$2:$D$13,2+quotient(row()-2,48),false),'Division Placements'!$B$16:$B$27,0),"0000"),"BYE")</f>
        <v>03,BYE,BYE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16" t="str">
        <f t="shared" si="1"/>
        <v>Week 4</v>
      </c>
      <c r="B38" s="18" t="s">
        <v>13</v>
      </c>
      <c r="C38" s="22" t="s">
        <v>43</v>
      </c>
      <c r="D38" s="7" t="str">
        <f>text(mid(A38,find(" ",A38)+1,2),"00")&amp;
","&amp;
ifna(text(match(vlookup(B38,'Division Placements'!$A$2:$D$13,2+quotient(row()-2,48),false),'Division Placements'!$B$16:$B$27,0),"0000"),"BYE")&amp;
","&amp;
ifna(text(match(vlookup(C38,'Division Placements'!$A$2:$D$13,2+quotient(row()-2,48),false),'Division Placements'!$B$16:$B$27,0),"0000"),"BYE")</f>
        <v>04,BYE,BYE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16" t="str">
        <f t="shared" si="1"/>
        <v>Week 4</v>
      </c>
      <c r="B39" s="18" t="s">
        <v>27</v>
      </c>
      <c r="C39" s="22" t="s">
        <v>32</v>
      </c>
      <c r="D39" s="7" t="str">
        <f>text(mid(A39,find(" ",A39)+1,2),"00")&amp;
","&amp;
ifna(text(match(vlookup(B39,'Division Placements'!$A$2:$D$13,2+quotient(row()-2,48),false),'Division Placements'!$B$16:$B$27,0),"0000"),"BYE")&amp;
","&amp;
ifna(text(match(vlookup(C39,'Division Placements'!$A$2:$D$13,2+quotient(row()-2,48),false),'Division Placements'!$B$16:$B$27,0),"0000"),"BYE")</f>
        <v>04,BYE,BYE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16" t="str">
        <f t="shared" si="1"/>
        <v>Week 4</v>
      </c>
      <c r="B40" s="18" t="s">
        <v>34</v>
      </c>
      <c r="C40" s="22" t="s">
        <v>38</v>
      </c>
      <c r="D40" s="7" t="str">
        <f>text(mid(A40,find(" ",A40)+1,2),"00")&amp;
","&amp;
ifna(text(match(vlookup(B40,'Division Placements'!$A$2:$D$13,2+quotient(row()-2,48),false),'Division Placements'!$B$16:$B$27,0),"0000"),"BYE")&amp;
","&amp;
ifna(text(match(vlookup(C40,'Division Placements'!$A$2:$D$13,2+quotient(row()-2,48),false),'Division Placements'!$B$16:$B$27,0),"0000"),"BYE")</f>
        <v>04,BYE,BYE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16" t="str">
        <f t="shared" si="1"/>
        <v>Week 4</v>
      </c>
      <c r="B41" s="18" t="s">
        <v>36</v>
      </c>
      <c r="C41" s="22" t="s">
        <v>40</v>
      </c>
      <c r="D41" s="7" t="str">
        <f>text(mid(A41,find(" ",A41)+1,2),"00")&amp;
","&amp;
ifna(text(match(vlookup(B41,'Division Placements'!$A$2:$D$13,2+quotient(row()-2,48),false),'Division Placements'!$B$16:$B$27,0),"0000"),"BYE")&amp;
","&amp;
ifna(text(match(vlookup(C41,'Division Placements'!$A$2:$D$13,2+quotient(row()-2,48),false),'Division Placements'!$B$16:$B$27,0),"0000"),"BYE")</f>
        <v>04,BYE,BYE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16" t="str">
        <f t="shared" si="1"/>
        <v>Week 4</v>
      </c>
      <c r="B42" s="18" t="s">
        <v>13</v>
      </c>
      <c r="C42" s="26" t="s">
        <v>44</v>
      </c>
      <c r="D42" s="7" t="str">
        <f>text(mid(A42,find(" ",A42)+1,2),"00")&amp;
","&amp;
ifna(text(match(vlookup(B42,'Division Placements'!$A$2:$D$13,2+quotient(row()-2,48),false),'Division Placements'!$B$16:$B$27,0),"0000"),"BYE")&amp;
","&amp;
ifna(text(match(vlookup(C42,'Division Placements'!$A$2:$D$13,2+quotient(row()-2,48),false),'Division Placements'!$B$16:$B$27,0),"0000"),"BYE")</f>
        <v>04,BYE,BYE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16" t="str">
        <f t="shared" si="1"/>
        <v>Week 4</v>
      </c>
      <c r="B43" s="18" t="s">
        <v>27</v>
      </c>
      <c r="C43" s="26" t="s">
        <v>37</v>
      </c>
      <c r="D43" s="7" t="str">
        <f>text(mid(A43,find(" ",A43)+1,2),"00")&amp;
","&amp;
ifna(text(match(vlookup(B43,'Division Placements'!$A$2:$D$13,2+quotient(row()-2,48),false),'Division Placements'!$B$16:$B$27,0),"0000"),"BYE")&amp;
","&amp;
ifna(text(match(vlookup(C43,'Division Placements'!$A$2:$D$13,2+quotient(row()-2,48),false),'Division Placements'!$B$16:$B$27,0),"0000"),"BYE")</f>
        <v>04,BYE,BYE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16" t="str">
        <f t="shared" si="1"/>
        <v>Week 4</v>
      </c>
      <c r="B44" s="18" t="s">
        <v>34</v>
      </c>
      <c r="C44" s="26" t="s">
        <v>39</v>
      </c>
      <c r="D44" s="7" t="str">
        <f>text(mid(A44,find(" ",A44)+1,2),"00")&amp;
","&amp;
ifna(text(match(vlookup(B44,'Division Placements'!$A$2:$D$13,2+quotient(row()-2,48),false),'Division Placements'!$B$16:$B$27,0),"0000"),"BYE")&amp;
","&amp;
ifna(text(match(vlookup(C44,'Division Placements'!$A$2:$D$13,2+quotient(row()-2,48),false),'Division Placements'!$B$16:$B$27,0),"0000"),"BYE")</f>
        <v>04,BYE,BYE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16" t="str">
        <f t="shared" si="1"/>
        <v>Week 4</v>
      </c>
      <c r="B45" s="18" t="s">
        <v>36</v>
      </c>
      <c r="C45" s="26" t="s">
        <v>42</v>
      </c>
      <c r="D45" s="7" t="str">
        <f>text(mid(A45,find(" ",A45)+1,2),"00")&amp;
","&amp;
ifna(text(match(vlookup(B45,'Division Placements'!$A$2:$D$13,2+quotient(row()-2,48),false),'Division Placements'!$B$16:$B$27,0),"0000"),"BYE")&amp;
","&amp;
ifna(text(match(vlookup(C45,'Division Placements'!$A$2:$D$13,2+quotient(row()-2,48),false),'Division Placements'!$B$16:$B$27,0),"0000"),"BYE")</f>
        <v>04,BYE,BYE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16" t="str">
        <f t="shared" si="1"/>
        <v>Week 4</v>
      </c>
      <c r="B46" s="33" t="s">
        <v>32</v>
      </c>
      <c r="C46" s="26" t="s">
        <v>44</v>
      </c>
      <c r="D46" s="7" t="str">
        <f>text(mid(A46,find(" ",A46)+1,2),"00")&amp;
","&amp;
ifna(text(match(vlookup(B46,'Division Placements'!$A$2:$D$13,2+quotient(row()-2,48),false),'Division Placements'!$B$16:$B$27,0),"0000"),"BYE")&amp;
","&amp;
ifna(text(match(vlookup(C46,'Division Placements'!$A$2:$D$13,2+quotient(row()-2,48),false),'Division Placements'!$B$16:$B$27,0),"0000"),"BYE")</f>
        <v>04,BYE,BYE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16" t="str">
        <f t="shared" si="1"/>
        <v>Week 4</v>
      </c>
      <c r="B47" s="33" t="s">
        <v>38</v>
      </c>
      <c r="C47" s="26" t="s">
        <v>37</v>
      </c>
      <c r="D47" s="7" t="str">
        <f>text(mid(A47,find(" ",A47)+1,2),"00")&amp;
","&amp;
ifna(text(match(vlookup(B47,'Division Placements'!$A$2:$D$13,2+quotient(row()-2,48),false),'Division Placements'!$B$16:$B$27,0),"0000"),"BYE")&amp;
","&amp;
ifna(text(match(vlookup(C47,'Division Placements'!$A$2:$D$13,2+quotient(row()-2,48),false),'Division Placements'!$B$16:$B$27,0),"0000"),"BYE")</f>
        <v>04,BYE,BYE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16" t="str">
        <f t="shared" si="1"/>
        <v>Week 4</v>
      </c>
      <c r="B48" s="33" t="s">
        <v>40</v>
      </c>
      <c r="C48" s="26" t="s">
        <v>39</v>
      </c>
      <c r="D48" s="7" t="str">
        <f>text(mid(A48,find(" ",A48)+1,2),"00")&amp;
","&amp;
ifna(text(match(vlookup(B48,'Division Placements'!$A$2:$D$13,2+quotient(row()-2,48),false),'Division Placements'!$B$16:$B$27,0),"0000"),"BYE")&amp;
","&amp;
ifna(text(match(vlookup(C48,'Division Placements'!$A$2:$D$13,2+quotient(row()-2,48),false),'Division Placements'!$B$16:$B$27,0),"0000"),"BYE")</f>
        <v>04,BYE,BYE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16" t="str">
        <f t="shared" si="1"/>
        <v>Week 4</v>
      </c>
      <c r="B49" s="33" t="s">
        <v>43</v>
      </c>
      <c r="C49" s="26" t="s">
        <v>42</v>
      </c>
      <c r="D49" s="7" t="str">
        <f>text(mid(A49,find(" ",A49)+1,2),"00")&amp;
","&amp;
ifna(text(match(vlookup(B49,'Division Placements'!$A$2:$D$13,2+quotient(row()-2,48),false),'Division Placements'!$B$16:$B$27,0),"0000"),"BYE")&amp;
","&amp;
ifna(text(match(vlookup(C49,'Division Placements'!$A$2:$D$13,2+quotient(row()-2,48),false),'Division Placements'!$B$16:$B$27,0),"0000"),"BYE")</f>
        <v>04,BYE,BYE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16" t="str">
        <f t="shared" si="1"/>
        <v>Week 5</v>
      </c>
      <c r="B50" s="18" t="s">
        <v>13</v>
      </c>
      <c r="C50" s="22" t="s">
        <v>32</v>
      </c>
      <c r="D50" s="7" t="str">
        <f>text(mid(A50,find(" ",A50)+1,2),"00")&amp;
","&amp;
ifna(text(match(vlookup(B50,'Division Placements'!$A$2:$D$13,2+quotient(row()-2,48),false),'Division Placements'!$B$16:$B$27,0),"0000"),"BYE")&amp;
","&amp;
ifna(text(match(vlookup(C50,'Division Placements'!$A$2:$D$13,2+quotient(row()-2,48),false),'Division Placements'!$B$16:$B$27,0),"0000"),"BYE")</f>
        <v>05,BYE,BYE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16" t="str">
        <f t="shared" si="1"/>
        <v>Week 5</v>
      </c>
      <c r="B51" s="18" t="s">
        <v>27</v>
      </c>
      <c r="C51" s="22" t="s">
        <v>38</v>
      </c>
      <c r="D51" s="7" t="str">
        <f>text(mid(A51,find(" ",A51)+1,2),"00")&amp;
","&amp;
ifna(text(match(vlookup(B51,'Division Placements'!$A$2:$D$13,2+quotient(row()-2,48),false),'Division Placements'!$B$16:$B$27,0),"0000"),"BYE")&amp;
","&amp;
ifna(text(match(vlookup(C51,'Division Placements'!$A$2:$D$13,2+quotient(row()-2,48),false),'Division Placements'!$B$16:$B$27,0),"0000"),"BYE")</f>
        <v>05,BYE,BYE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16" t="str">
        <f t="shared" si="1"/>
        <v>Week 5</v>
      </c>
      <c r="B52" s="18" t="s">
        <v>34</v>
      </c>
      <c r="C52" s="22" t="s">
        <v>40</v>
      </c>
      <c r="D52" s="7" t="str">
        <f>text(mid(A52,find(" ",A52)+1,2),"00")&amp;
","&amp;
ifna(text(match(vlookup(B52,'Division Placements'!$A$2:$D$13,2+quotient(row()-2,48),false),'Division Placements'!$B$16:$B$27,0),"0000"),"BYE")&amp;
","&amp;
ifna(text(match(vlookup(C52,'Division Placements'!$A$2:$D$13,2+quotient(row()-2,48),false),'Division Placements'!$B$16:$B$27,0),"0000"),"BYE")</f>
        <v>05,BYE,BYE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16" t="str">
        <f t="shared" si="1"/>
        <v>Week 5</v>
      </c>
      <c r="B53" s="18" t="s">
        <v>36</v>
      </c>
      <c r="C53" s="22" t="s">
        <v>43</v>
      </c>
      <c r="D53" s="7" t="str">
        <f>text(mid(A53,find(" ",A53)+1,2),"00")&amp;
","&amp;
ifna(text(match(vlookup(B53,'Division Placements'!$A$2:$D$13,2+quotient(row()-2,48),false),'Division Placements'!$B$16:$B$27,0),"0000"),"BYE")&amp;
","&amp;
ifna(text(match(vlookup(C53,'Division Placements'!$A$2:$D$13,2+quotient(row()-2,48),false),'Division Placements'!$B$16:$B$27,0),"0000"),"BYE")</f>
        <v>05,BYE,BYE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16" t="str">
        <f t="shared" si="1"/>
        <v>Week 5</v>
      </c>
      <c r="B54" s="18" t="s">
        <v>13</v>
      </c>
      <c r="C54" s="26" t="s">
        <v>37</v>
      </c>
      <c r="D54" s="7" t="str">
        <f>text(mid(A54,find(" ",A54)+1,2),"00")&amp;
","&amp;
ifna(text(match(vlookup(B54,'Division Placements'!$A$2:$D$13,2+quotient(row()-2,48),false),'Division Placements'!$B$16:$B$27,0),"0000"),"BYE")&amp;
","&amp;
ifna(text(match(vlookup(C54,'Division Placements'!$A$2:$D$13,2+quotient(row()-2,48),false),'Division Placements'!$B$16:$B$27,0),"0000"),"BYE")</f>
        <v>05,BYE,BYE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16" t="str">
        <f t="shared" si="1"/>
        <v>Week 5</v>
      </c>
      <c r="B55" s="18" t="s">
        <v>27</v>
      </c>
      <c r="C55" s="26" t="s">
        <v>39</v>
      </c>
      <c r="D55" s="7" t="str">
        <f>text(mid(A55,find(" ",A55)+1,2),"00")&amp;
","&amp;
ifna(text(match(vlookup(B55,'Division Placements'!$A$2:$D$13,2+quotient(row()-2,48),false),'Division Placements'!$B$16:$B$27,0),"0000"),"BYE")&amp;
","&amp;
ifna(text(match(vlookup(C55,'Division Placements'!$A$2:$D$13,2+quotient(row()-2,48),false),'Division Placements'!$B$16:$B$27,0),"0000"),"BYE")</f>
        <v>05,BYE,BYE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16" t="str">
        <f t="shared" si="1"/>
        <v>Week 5</v>
      </c>
      <c r="B56" s="18" t="s">
        <v>34</v>
      </c>
      <c r="C56" s="26" t="s">
        <v>42</v>
      </c>
      <c r="D56" s="7" t="str">
        <f>text(mid(A56,find(" ",A56)+1,2),"00")&amp;
","&amp;
ifna(text(match(vlookup(B56,'Division Placements'!$A$2:$D$13,2+quotient(row()-2,48),false),'Division Placements'!$B$16:$B$27,0),"0000"),"BYE")&amp;
","&amp;
ifna(text(match(vlookup(C56,'Division Placements'!$A$2:$D$13,2+quotient(row()-2,48),false),'Division Placements'!$B$16:$B$27,0),"0000"),"BYE")</f>
        <v>05,BYE,BYE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16" t="str">
        <f t="shared" si="1"/>
        <v>Week 5</v>
      </c>
      <c r="B57" s="18" t="s">
        <v>36</v>
      </c>
      <c r="C57" s="26" t="s">
        <v>44</v>
      </c>
      <c r="D57" s="7" t="str">
        <f>text(mid(A57,find(" ",A57)+1,2),"00")&amp;
","&amp;
ifna(text(match(vlookup(B57,'Division Placements'!$A$2:$D$13,2+quotient(row()-2,48),false),'Division Placements'!$B$16:$B$27,0),"0000"),"BYE")&amp;
","&amp;
ifna(text(match(vlookup(C57,'Division Placements'!$A$2:$D$13,2+quotient(row()-2,48),false),'Division Placements'!$B$16:$B$27,0),"0000"),"BYE")</f>
        <v>05,BYE,BYE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16" t="str">
        <f t="shared" si="1"/>
        <v>Week 5</v>
      </c>
      <c r="B58" s="33" t="s">
        <v>32</v>
      </c>
      <c r="C58" s="26" t="s">
        <v>37</v>
      </c>
      <c r="D58" s="7" t="str">
        <f>text(mid(A58,find(" ",A58)+1,2),"00")&amp;
","&amp;
ifna(text(match(vlookup(B58,'Division Placements'!$A$2:$D$13,2+quotient(row()-2,48),false),'Division Placements'!$B$16:$B$27,0),"0000"),"BYE")&amp;
","&amp;
ifna(text(match(vlookup(C58,'Division Placements'!$A$2:$D$13,2+quotient(row()-2,48),false),'Division Placements'!$B$16:$B$27,0),"0000"),"BYE")</f>
        <v>05,BYE,BYE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16" t="str">
        <f t="shared" si="1"/>
        <v>Week 5</v>
      </c>
      <c r="B59" s="33" t="s">
        <v>38</v>
      </c>
      <c r="C59" s="26" t="s">
        <v>39</v>
      </c>
      <c r="D59" s="7" t="str">
        <f>text(mid(A59,find(" ",A59)+1,2),"00")&amp;
","&amp;
ifna(text(match(vlookup(B59,'Division Placements'!$A$2:$D$13,2+quotient(row()-2,48),false),'Division Placements'!$B$16:$B$27,0),"0000"),"BYE")&amp;
","&amp;
ifna(text(match(vlookup(C59,'Division Placements'!$A$2:$D$13,2+quotient(row()-2,48),false),'Division Placements'!$B$16:$B$27,0),"0000"),"BYE")</f>
        <v>05,BYE,BYE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16" t="str">
        <f t="shared" si="1"/>
        <v>Week 5</v>
      </c>
      <c r="B60" s="33" t="s">
        <v>40</v>
      </c>
      <c r="C60" s="26" t="s">
        <v>42</v>
      </c>
      <c r="D60" s="7" t="str">
        <f>text(mid(A60,find(" ",A60)+1,2),"00")&amp;
","&amp;
ifna(text(match(vlookup(B60,'Division Placements'!$A$2:$D$13,2+quotient(row()-2,48),false),'Division Placements'!$B$16:$B$27,0),"0000"),"BYE")&amp;
","&amp;
ifna(text(match(vlookup(C60,'Division Placements'!$A$2:$D$13,2+quotient(row()-2,48),false),'Division Placements'!$B$16:$B$27,0),"0000"),"BYE")</f>
        <v>05,BYE,BYE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16" t="str">
        <f t="shared" si="1"/>
        <v>Week 5</v>
      </c>
      <c r="B61" s="33" t="s">
        <v>43</v>
      </c>
      <c r="C61" s="26" t="s">
        <v>44</v>
      </c>
      <c r="D61" s="7" t="str">
        <f>text(mid(A61,find(" ",A61)+1,2),"00")&amp;
","&amp;
ifna(text(match(vlookup(B61,'Division Placements'!$A$2:$D$13,2+quotient(row()-2,48),false),'Division Placements'!$B$16:$B$27,0),"0000"),"BYE")&amp;
","&amp;
ifna(text(match(vlookup(C61,'Division Placements'!$A$2:$D$13,2+quotient(row()-2,48),false),'Division Placements'!$B$16:$B$27,0),"0000"),"BYE")</f>
        <v>05,BYE,BYE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16" t="str">
        <f t="shared" si="1"/>
        <v>Week 6</v>
      </c>
      <c r="B62" s="18" t="s">
        <v>13</v>
      </c>
      <c r="C62" s="22" t="s">
        <v>38</v>
      </c>
      <c r="D62" s="7" t="str">
        <f>text(mid(A62,find(" ",A62)+1,2),"00")&amp;
","&amp;
ifna(text(match(vlookup(B62,'Division Placements'!$A$2:$D$13,2+quotient(row()-2,48),false),'Division Placements'!$B$16:$B$27,0),"0000"),"BYE")&amp;
","&amp;
ifna(text(match(vlookup(C62,'Division Placements'!$A$2:$D$13,2+quotient(row()-2,48),false),'Division Placements'!$B$16:$B$27,0),"0000"),"BYE")</f>
        <v>06,BYE,BYE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16" t="str">
        <f t="shared" si="1"/>
        <v>Week 6</v>
      </c>
      <c r="B63" s="18" t="s">
        <v>27</v>
      </c>
      <c r="C63" s="22" t="s">
        <v>40</v>
      </c>
      <c r="D63" s="7" t="str">
        <f>text(mid(A63,find(" ",A63)+1,2),"00")&amp;
","&amp;
ifna(text(match(vlookup(B63,'Division Placements'!$A$2:$D$13,2+quotient(row()-2,48),false),'Division Placements'!$B$16:$B$27,0),"0000"),"BYE")&amp;
","&amp;
ifna(text(match(vlookup(C63,'Division Placements'!$A$2:$D$13,2+quotient(row()-2,48),false),'Division Placements'!$B$16:$B$27,0),"0000"),"BYE")</f>
        <v>06,BYE,BYE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16" t="str">
        <f t="shared" si="1"/>
        <v>Week 6</v>
      </c>
      <c r="B64" s="18" t="s">
        <v>34</v>
      </c>
      <c r="C64" s="22" t="s">
        <v>43</v>
      </c>
      <c r="D64" s="7" t="str">
        <f>text(mid(A64,find(" ",A64)+1,2),"00")&amp;
","&amp;
ifna(text(match(vlookup(B64,'Division Placements'!$A$2:$D$13,2+quotient(row()-2,48),false),'Division Placements'!$B$16:$B$27,0),"0000"),"BYE")&amp;
","&amp;
ifna(text(match(vlookup(C64,'Division Placements'!$A$2:$D$13,2+quotient(row()-2,48),false),'Division Placements'!$B$16:$B$27,0),"0000"),"BYE")</f>
        <v>06,BYE,BYE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16" t="str">
        <f t="shared" si="1"/>
        <v>Week 6</v>
      </c>
      <c r="B65" s="18" t="s">
        <v>36</v>
      </c>
      <c r="C65" s="22" t="s">
        <v>32</v>
      </c>
      <c r="D65" s="7" t="str">
        <f>text(mid(A65,find(" ",A65)+1,2),"00")&amp;
","&amp;
ifna(text(match(vlookup(B65,'Division Placements'!$A$2:$D$13,2+quotient(row()-2,48),false),'Division Placements'!$B$16:$B$27,0),"0000"),"BYE")&amp;
","&amp;
ifna(text(match(vlookup(C65,'Division Placements'!$A$2:$D$13,2+quotient(row()-2,48),false),'Division Placements'!$B$16:$B$27,0),"0000"),"BYE")</f>
        <v>06,BYE,BYE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16" t="str">
        <f t="shared" si="1"/>
        <v>Week 6</v>
      </c>
      <c r="B66" s="18" t="s">
        <v>13</v>
      </c>
      <c r="C66" s="26" t="s">
        <v>39</v>
      </c>
      <c r="D66" s="7" t="str">
        <f>text(mid(A66,find(" ",A66)+1,2),"00")&amp;
","&amp;
ifna(text(match(vlookup(B66,'Division Placements'!$A$2:$D$13,2+quotient(row()-2,48),false),'Division Placements'!$B$16:$B$27,0),"0000"),"BYE")&amp;
","&amp;
ifna(text(match(vlookup(C66,'Division Placements'!$A$2:$D$13,2+quotient(row()-2,48),false),'Division Placements'!$B$16:$B$27,0),"0000"),"BYE")</f>
        <v>06,BYE,BYE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16" t="str">
        <f t="shared" si="1"/>
        <v>Week 6</v>
      </c>
      <c r="B67" s="18" t="s">
        <v>27</v>
      </c>
      <c r="C67" s="26" t="s">
        <v>42</v>
      </c>
      <c r="D67" s="7" t="str">
        <f>text(mid(A67,find(" ",A67)+1,2),"00")&amp;
","&amp;
ifna(text(match(vlookup(B67,'Division Placements'!$A$2:$D$13,2+quotient(row()-2,48),false),'Division Placements'!$B$16:$B$27,0),"0000"),"BYE")&amp;
","&amp;
ifna(text(match(vlookup(C67,'Division Placements'!$A$2:$D$13,2+quotient(row()-2,48),false),'Division Placements'!$B$16:$B$27,0),"0000"),"BYE")</f>
        <v>06,BYE,BYE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16" t="str">
        <f t="shared" si="1"/>
        <v>Week 6</v>
      </c>
      <c r="B68" s="18" t="s">
        <v>34</v>
      </c>
      <c r="C68" s="26" t="s">
        <v>44</v>
      </c>
      <c r="D68" s="7" t="str">
        <f>text(mid(A68,find(" ",A68)+1,2),"00")&amp;
","&amp;
ifna(text(match(vlookup(B68,'Division Placements'!$A$2:$D$13,2+quotient(row()-2,48),false),'Division Placements'!$B$16:$B$27,0),"0000"),"BYE")&amp;
","&amp;
ifna(text(match(vlookup(C68,'Division Placements'!$A$2:$D$13,2+quotient(row()-2,48),false),'Division Placements'!$B$16:$B$27,0),"0000"),"BYE")</f>
        <v>06,BYE,BYE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16" t="str">
        <f t="shared" si="1"/>
        <v>Week 6</v>
      </c>
      <c r="B69" s="18" t="s">
        <v>36</v>
      </c>
      <c r="C69" s="26" t="s">
        <v>37</v>
      </c>
      <c r="D69" s="7" t="str">
        <f>text(mid(A69,find(" ",A69)+1,2),"00")&amp;
","&amp;
ifna(text(match(vlookup(B69,'Division Placements'!$A$2:$D$13,2+quotient(row()-2,48),false),'Division Placements'!$B$16:$B$27,0),"0000"),"BYE")&amp;
","&amp;
ifna(text(match(vlookup(C69,'Division Placements'!$A$2:$D$13,2+quotient(row()-2,48),false),'Division Placements'!$B$16:$B$27,0),"0000"),"BYE")</f>
        <v>06,BYE,BYE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16" t="str">
        <f t="shared" si="1"/>
        <v>Week 6</v>
      </c>
      <c r="B70" s="33" t="s">
        <v>32</v>
      </c>
      <c r="C70" s="26" t="s">
        <v>39</v>
      </c>
      <c r="D70" s="7" t="str">
        <f>text(mid(A70,find(" ",A70)+1,2),"00")&amp;
","&amp;
ifna(text(match(vlookup(B70,'Division Placements'!$A$2:$D$13,2+quotient(row()-2,48),false),'Division Placements'!$B$16:$B$27,0),"0000"),"BYE")&amp;
","&amp;
ifna(text(match(vlookup(C70,'Division Placements'!$A$2:$D$13,2+quotient(row()-2,48),false),'Division Placements'!$B$16:$B$27,0),"0000"),"BYE")</f>
        <v>06,BYE,BYE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16" t="str">
        <f t="shared" si="1"/>
        <v>Week 6</v>
      </c>
      <c r="B71" s="33" t="s">
        <v>38</v>
      </c>
      <c r="C71" s="26" t="s">
        <v>42</v>
      </c>
      <c r="D71" s="7" t="str">
        <f>text(mid(A71,find(" ",A71)+1,2),"00")&amp;
","&amp;
ifna(text(match(vlookup(B71,'Division Placements'!$A$2:$D$13,2+quotient(row()-2,48),false),'Division Placements'!$B$16:$B$27,0),"0000"),"BYE")&amp;
","&amp;
ifna(text(match(vlookup(C71,'Division Placements'!$A$2:$D$13,2+quotient(row()-2,48),false),'Division Placements'!$B$16:$B$27,0),"0000"),"BYE")</f>
        <v>06,BYE,BYE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16" t="str">
        <f t="shared" si="1"/>
        <v>Week 6</v>
      </c>
      <c r="B72" s="33" t="s">
        <v>40</v>
      </c>
      <c r="C72" s="26" t="s">
        <v>44</v>
      </c>
      <c r="D72" s="7" t="str">
        <f>text(mid(A72,find(" ",A72)+1,2),"00")&amp;
","&amp;
ifna(text(match(vlookup(B72,'Division Placements'!$A$2:$D$13,2+quotient(row()-2,48),false),'Division Placements'!$B$16:$B$27,0),"0000"),"BYE")&amp;
","&amp;
ifna(text(match(vlookup(C72,'Division Placements'!$A$2:$D$13,2+quotient(row()-2,48),false),'Division Placements'!$B$16:$B$27,0),"0000"),"BYE")</f>
        <v>06,BYE,BYE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16" t="str">
        <f t="shared" si="1"/>
        <v>Week 6</v>
      </c>
      <c r="B73" s="33" t="s">
        <v>43</v>
      </c>
      <c r="C73" s="26" t="s">
        <v>37</v>
      </c>
      <c r="D73" s="7" t="str">
        <f>text(mid(A73,find(" ",A73)+1,2),"00")&amp;
","&amp;
ifna(text(match(vlookup(B73,'Division Placements'!$A$2:$D$13,2+quotient(row()-2,48),false),'Division Placements'!$B$16:$B$27,0),"0000"),"BYE")&amp;
","&amp;
ifna(text(match(vlookup(C73,'Division Placements'!$A$2:$D$13,2+quotient(row()-2,48),false),'Division Placements'!$B$16:$B$27,0),"0000"),"BYE")</f>
        <v>06,BYE,BYE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16" t="str">
        <f t="shared" si="1"/>
        <v>Week 7</v>
      </c>
      <c r="B74" s="18" t="s">
        <v>13</v>
      </c>
      <c r="C74" s="22" t="s">
        <v>40</v>
      </c>
      <c r="D74" s="7" t="str">
        <f>text(mid(A74,find(" ",A74)+1,2),"00")&amp;
","&amp;
ifna(text(match(vlookup(B74,'Division Placements'!$A$2:$D$13,2+quotient(row()-2,48),false),'Division Placements'!$B$16:$B$27,0),"0000"),"BYE")&amp;
","&amp;
ifna(text(match(vlookup(C74,'Division Placements'!$A$2:$D$13,2+quotient(row()-2,48),false),'Division Placements'!$B$16:$B$27,0),"0000"),"BYE")</f>
        <v>07,BYE,BYE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16" t="str">
        <f t="shared" si="1"/>
        <v>Week 7</v>
      </c>
      <c r="B75" s="18" t="s">
        <v>27</v>
      </c>
      <c r="C75" s="22" t="s">
        <v>43</v>
      </c>
      <c r="D75" s="7" t="str">
        <f>text(mid(A75,find(" ",A75)+1,2),"00")&amp;
","&amp;
ifna(text(match(vlookup(B75,'Division Placements'!$A$2:$D$13,2+quotient(row()-2,48),false),'Division Placements'!$B$16:$B$27,0),"0000"),"BYE")&amp;
","&amp;
ifna(text(match(vlookup(C75,'Division Placements'!$A$2:$D$13,2+quotient(row()-2,48),false),'Division Placements'!$B$16:$B$27,0),"0000"),"BYE")</f>
        <v>07,BYE,BYE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16" t="str">
        <f t="shared" si="1"/>
        <v>Week 7</v>
      </c>
      <c r="B76" s="18" t="s">
        <v>34</v>
      </c>
      <c r="C76" s="22" t="s">
        <v>32</v>
      </c>
      <c r="D76" s="7" t="str">
        <f>text(mid(A76,find(" ",A76)+1,2),"00")&amp;
","&amp;
ifna(text(match(vlookup(B76,'Division Placements'!$A$2:$D$13,2+quotient(row()-2,48),false),'Division Placements'!$B$16:$B$27,0),"0000"),"BYE")&amp;
","&amp;
ifna(text(match(vlookup(C76,'Division Placements'!$A$2:$D$13,2+quotient(row()-2,48),false),'Division Placements'!$B$16:$B$27,0),"0000"),"BYE")</f>
        <v>07,BYE,BYE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16" t="str">
        <f t="shared" si="1"/>
        <v>Week 7</v>
      </c>
      <c r="B77" s="18" t="s">
        <v>36</v>
      </c>
      <c r="C77" s="22" t="s">
        <v>38</v>
      </c>
      <c r="D77" s="7" t="str">
        <f>text(mid(A77,find(" ",A77)+1,2),"00")&amp;
","&amp;
ifna(text(match(vlookup(B77,'Division Placements'!$A$2:$D$13,2+quotient(row()-2,48),false),'Division Placements'!$B$16:$B$27,0),"0000"),"BYE")&amp;
","&amp;
ifna(text(match(vlookup(C77,'Division Placements'!$A$2:$D$13,2+quotient(row()-2,48),false),'Division Placements'!$B$16:$B$27,0),"0000"),"BYE")</f>
        <v>07,BYE,BYE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16" t="str">
        <f t="shared" si="1"/>
        <v>Week 7</v>
      </c>
      <c r="B78" s="18" t="s">
        <v>13</v>
      </c>
      <c r="C78" s="26" t="s">
        <v>42</v>
      </c>
      <c r="D78" s="7" t="str">
        <f>text(mid(A78,find(" ",A78)+1,2),"00")&amp;
","&amp;
ifna(text(match(vlookup(B78,'Division Placements'!$A$2:$D$13,2+quotient(row()-2,48),false),'Division Placements'!$B$16:$B$27,0),"0000"),"BYE")&amp;
","&amp;
ifna(text(match(vlookup(C78,'Division Placements'!$A$2:$D$13,2+quotient(row()-2,48),false),'Division Placements'!$B$16:$B$27,0),"0000"),"BYE")</f>
        <v>07,BYE,BYE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16" t="str">
        <f t="shared" si="1"/>
        <v>Week 7</v>
      </c>
      <c r="B79" s="18" t="s">
        <v>27</v>
      </c>
      <c r="C79" s="26" t="s">
        <v>44</v>
      </c>
      <c r="D79" s="7" t="str">
        <f>text(mid(A79,find(" ",A79)+1,2),"00")&amp;
","&amp;
ifna(text(match(vlookup(B79,'Division Placements'!$A$2:$D$13,2+quotient(row()-2,48),false),'Division Placements'!$B$16:$B$27,0),"0000"),"BYE")&amp;
","&amp;
ifna(text(match(vlookup(C79,'Division Placements'!$A$2:$D$13,2+quotient(row()-2,48),false),'Division Placements'!$B$16:$B$27,0),"0000"),"BYE")</f>
        <v>07,BYE,BYE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16" t="str">
        <f t="shared" si="1"/>
        <v>Week 7</v>
      </c>
      <c r="B80" s="18" t="s">
        <v>34</v>
      </c>
      <c r="C80" s="26" t="s">
        <v>37</v>
      </c>
      <c r="D80" s="7" t="str">
        <f>text(mid(A80,find(" ",A80)+1,2),"00")&amp;
","&amp;
ifna(text(match(vlookup(B80,'Division Placements'!$A$2:$D$13,2+quotient(row()-2,48),false),'Division Placements'!$B$16:$B$27,0),"0000"),"BYE")&amp;
","&amp;
ifna(text(match(vlookup(C80,'Division Placements'!$A$2:$D$13,2+quotient(row()-2,48),false),'Division Placements'!$B$16:$B$27,0),"0000"),"BYE")</f>
        <v>07,BYE,BYE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16" t="str">
        <f t="shared" si="1"/>
        <v>Week 7</v>
      </c>
      <c r="B81" s="18" t="s">
        <v>36</v>
      </c>
      <c r="C81" s="26" t="s">
        <v>39</v>
      </c>
      <c r="D81" s="7" t="str">
        <f>text(mid(A81,find(" ",A81)+1,2),"00")&amp;
","&amp;
ifna(text(match(vlookup(B81,'Division Placements'!$A$2:$D$13,2+quotient(row()-2,48),false),'Division Placements'!$B$16:$B$27,0),"0000"),"BYE")&amp;
","&amp;
ifna(text(match(vlookup(C81,'Division Placements'!$A$2:$D$13,2+quotient(row()-2,48),false),'Division Placements'!$B$16:$B$27,0),"0000"),"BYE")</f>
        <v>07,BYE,BYE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16" t="str">
        <f t="shared" si="1"/>
        <v>Week 7</v>
      </c>
      <c r="B82" s="33" t="s">
        <v>32</v>
      </c>
      <c r="C82" s="26" t="s">
        <v>42</v>
      </c>
      <c r="D82" s="7" t="str">
        <f>text(mid(A82,find(" ",A82)+1,2),"00")&amp;
","&amp;
ifna(text(match(vlookup(B82,'Division Placements'!$A$2:$D$13,2+quotient(row()-2,48),false),'Division Placements'!$B$16:$B$27,0),"0000"),"BYE")&amp;
","&amp;
ifna(text(match(vlookup(C82,'Division Placements'!$A$2:$D$13,2+quotient(row()-2,48),false),'Division Placements'!$B$16:$B$27,0),"0000"),"BYE")</f>
        <v>07,BYE,BYE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16" t="str">
        <f t="shared" si="1"/>
        <v>Week 7</v>
      </c>
      <c r="B83" s="33" t="s">
        <v>38</v>
      </c>
      <c r="C83" s="26" t="s">
        <v>44</v>
      </c>
      <c r="D83" s="7" t="str">
        <f>text(mid(A83,find(" ",A83)+1,2),"00")&amp;
","&amp;
ifna(text(match(vlookup(B83,'Division Placements'!$A$2:$D$13,2+quotient(row()-2,48),false),'Division Placements'!$B$16:$B$27,0),"0000"),"BYE")&amp;
","&amp;
ifna(text(match(vlookup(C83,'Division Placements'!$A$2:$D$13,2+quotient(row()-2,48),false),'Division Placements'!$B$16:$B$27,0),"0000"),"BYE")</f>
        <v>07,BYE,BYE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16" t="str">
        <f t="shared" si="1"/>
        <v>Week 7</v>
      </c>
      <c r="B84" s="33" t="s">
        <v>40</v>
      </c>
      <c r="C84" s="26" t="s">
        <v>37</v>
      </c>
      <c r="D84" s="7" t="str">
        <f>text(mid(A84,find(" ",A84)+1,2),"00")&amp;
","&amp;
ifna(text(match(vlookup(B84,'Division Placements'!$A$2:$D$13,2+quotient(row()-2,48),false),'Division Placements'!$B$16:$B$27,0),"0000"),"BYE")&amp;
","&amp;
ifna(text(match(vlookup(C84,'Division Placements'!$A$2:$D$13,2+quotient(row()-2,48),false),'Division Placements'!$B$16:$B$27,0),"0000"),"BYE")</f>
        <v>07,BYE,BYE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16" t="str">
        <f t="shared" si="1"/>
        <v>Week 7</v>
      </c>
      <c r="B85" s="33" t="s">
        <v>43</v>
      </c>
      <c r="C85" s="26" t="s">
        <v>39</v>
      </c>
      <c r="D85" s="7" t="str">
        <f>text(mid(A85,find(" ",A85)+1,2),"00")&amp;
","&amp;
ifna(text(match(vlookup(B85,'Division Placements'!$A$2:$D$13,2+quotient(row()-2,48),false),'Division Placements'!$B$16:$B$27,0),"0000"),"BYE")&amp;
","&amp;
ifna(text(match(vlookup(C85,'Division Placements'!$A$2:$D$13,2+quotient(row()-2,48),false),'Division Placements'!$B$16:$B$27,0),"0000"),"BYE")</f>
        <v>07,BYE,BYE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16" t="str">
        <f t="shared" si="1"/>
        <v>Week 8</v>
      </c>
      <c r="B86" s="18" t="s">
        <v>13</v>
      </c>
      <c r="C86" s="22" t="s">
        <v>43</v>
      </c>
      <c r="D86" s="7" t="str">
        <f>text(mid(A86,find(" ",A86)+1,2),"00")&amp;
","&amp;
ifna(text(match(vlookup(B86,'Division Placements'!$A$2:$D$13,2+quotient(row()-2,48),false),'Division Placements'!$B$16:$B$27,0),"0000"),"BYE")&amp;
","&amp;
ifna(text(match(vlookup(C86,'Division Placements'!$A$2:$D$13,2+quotient(row()-2,48),false),'Division Placements'!$B$16:$B$27,0),"0000"),"BYE")</f>
        <v>08,BYE,BYE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16" t="str">
        <f t="shared" si="1"/>
        <v>Week 8</v>
      </c>
      <c r="B87" s="18" t="s">
        <v>27</v>
      </c>
      <c r="C87" s="22" t="s">
        <v>32</v>
      </c>
      <c r="D87" s="7" t="str">
        <f>text(mid(A87,find(" ",A87)+1,2),"00")&amp;
","&amp;
ifna(text(match(vlookup(B87,'Division Placements'!$A$2:$D$13,2+quotient(row()-2,48),false),'Division Placements'!$B$16:$B$27,0),"0000"),"BYE")&amp;
","&amp;
ifna(text(match(vlookup(C87,'Division Placements'!$A$2:$D$13,2+quotient(row()-2,48),false),'Division Placements'!$B$16:$B$27,0),"0000"),"BYE")</f>
        <v>08,BYE,BYE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16" t="str">
        <f t="shared" si="1"/>
        <v>Week 8</v>
      </c>
      <c r="B88" s="18" t="s">
        <v>34</v>
      </c>
      <c r="C88" s="22" t="s">
        <v>38</v>
      </c>
      <c r="D88" s="7" t="str">
        <f>text(mid(A88,find(" ",A88)+1,2),"00")&amp;
","&amp;
ifna(text(match(vlookup(B88,'Division Placements'!$A$2:$D$13,2+quotient(row()-2,48),false),'Division Placements'!$B$16:$B$27,0),"0000"),"BYE")&amp;
","&amp;
ifna(text(match(vlookup(C88,'Division Placements'!$A$2:$D$13,2+quotient(row()-2,48),false),'Division Placements'!$B$16:$B$27,0),"0000"),"BYE")</f>
        <v>08,BYE,BYE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16" t="str">
        <f t="shared" si="1"/>
        <v>Week 8</v>
      </c>
      <c r="B89" s="18" t="s">
        <v>36</v>
      </c>
      <c r="C89" s="22" t="s">
        <v>40</v>
      </c>
      <c r="D89" s="7" t="str">
        <f>text(mid(A89,find(" ",A89)+1,2),"00")&amp;
","&amp;
ifna(text(match(vlookup(B89,'Division Placements'!$A$2:$D$13,2+quotient(row()-2,48),false),'Division Placements'!$B$16:$B$27,0),"0000"),"BYE")&amp;
","&amp;
ifna(text(match(vlookup(C89,'Division Placements'!$A$2:$D$13,2+quotient(row()-2,48),false),'Division Placements'!$B$16:$B$27,0),"0000"),"BYE")</f>
        <v>08,BYE,BYE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16" t="str">
        <f t="shared" si="1"/>
        <v>Week 8</v>
      </c>
      <c r="B90" s="18" t="s">
        <v>13</v>
      </c>
      <c r="C90" s="26" t="s">
        <v>44</v>
      </c>
      <c r="D90" s="7" t="str">
        <f>text(mid(A90,find(" ",A90)+1,2),"00")&amp;
","&amp;
ifna(text(match(vlookup(B90,'Division Placements'!$A$2:$D$13,2+quotient(row()-2,48),false),'Division Placements'!$B$16:$B$27,0),"0000"),"BYE")&amp;
","&amp;
ifna(text(match(vlookup(C90,'Division Placements'!$A$2:$D$13,2+quotient(row()-2,48),false),'Division Placements'!$B$16:$B$27,0),"0000"),"BYE")</f>
        <v>08,BYE,BYE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16" t="str">
        <f t="shared" si="1"/>
        <v>Week 8</v>
      </c>
      <c r="B91" s="18" t="s">
        <v>27</v>
      </c>
      <c r="C91" s="26" t="s">
        <v>37</v>
      </c>
      <c r="D91" s="7" t="str">
        <f>text(mid(A91,find(" ",A91)+1,2),"00")&amp;
","&amp;
ifna(text(match(vlookup(B91,'Division Placements'!$A$2:$D$13,2+quotient(row()-2,48),false),'Division Placements'!$B$16:$B$27,0),"0000"),"BYE")&amp;
","&amp;
ifna(text(match(vlookup(C91,'Division Placements'!$A$2:$D$13,2+quotient(row()-2,48),false),'Division Placements'!$B$16:$B$27,0),"0000"),"BYE")</f>
        <v>08,BYE,BYE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16" t="str">
        <f t="shared" si="1"/>
        <v>Week 8</v>
      </c>
      <c r="B92" s="18" t="s">
        <v>34</v>
      </c>
      <c r="C92" s="26" t="s">
        <v>39</v>
      </c>
      <c r="D92" s="7" t="str">
        <f>text(mid(A92,find(" ",A92)+1,2),"00")&amp;
","&amp;
ifna(text(match(vlookup(B92,'Division Placements'!$A$2:$D$13,2+quotient(row()-2,48),false),'Division Placements'!$B$16:$B$27,0),"0000"),"BYE")&amp;
","&amp;
ifna(text(match(vlookup(C92,'Division Placements'!$A$2:$D$13,2+quotient(row()-2,48),false),'Division Placements'!$B$16:$B$27,0),"0000"),"BYE")</f>
        <v>08,BYE,BYE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16" t="str">
        <f t="shared" si="1"/>
        <v>Week 8</v>
      </c>
      <c r="B93" s="18" t="s">
        <v>36</v>
      </c>
      <c r="C93" s="26" t="s">
        <v>42</v>
      </c>
      <c r="D93" s="7" t="str">
        <f>text(mid(A93,find(" ",A93)+1,2),"00")&amp;
","&amp;
ifna(text(match(vlookup(B93,'Division Placements'!$A$2:$D$13,2+quotient(row()-2,48),false),'Division Placements'!$B$16:$B$27,0),"0000"),"BYE")&amp;
","&amp;
ifna(text(match(vlookup(C93,'Division Placements'!$A$2:$D$13,2+quotient(row()-2,48),false),'Division Placements'!$B$16:$B$27,0),"0000"),"BYE")</f>
        <v>08,BYE,BYE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16" t="str">
        <f t="shared" si="1"/>
        <v>Week 8</v>
      </c>
      <c r="B94" s="33" t="s">
        <v>32</v>
      </c>
      <c r="C94" s="26" t="s">
        <v>44</v>
      </c>
      <c r="D94" s="7" t="str">
        <f>text(mid(A94,find(" ",A94)+1,2),"00")&amp;
","&amp;
ifna(text(match(vlookup(B94,'Division Placements'!$A$2:$D$13,2+quotient(row()-2,48),false),'Division Placements'!$B$16:$B$27,0),"0000"),"BYE")&amp;
","&amp;
ifna(text(match(vlookup(C94,'Division Placements'!$A$2:$D$13,2+quotient(row()-2,48),false),'Division Placements'!$B$16:$B$27,0),"0000"),"BYE")</f>
        <v>08,BYE,BYE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16" t="str">
        <f t="shared" si="1"/>
        <v>Week 8</v>
      </c>
      <c r="B95" s="33" t="s">
        <v>38</v>
      </c>
      <c r="C95" s="26" t="s">
        <v>37</v>
      </c>
      <c r="D95" s="7" t="str">
        <f>text(mid(A95,find(" ",A95)+1,2),"00")&amp;
","&amp;
ifna(text(match(vlookup(B95,'Division Placements'!$A$2:$D$13,2+quotient(row()-2,48),false),'Division Placements'!$B$16:$B$27,0),"0000"),"BYE")&amp;
","&amp;
ifna(text(match(vlookup(C95,'Division Placements'!$A$2:$D$13,2+quotient(row()-2,48),false),'Division Placements'!$B$16:$B$27,0),"0000"),"BYE")</f>
        <v>08,BYE,BYE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16" t="str">
        <f t="shared" si="1"/>
        <v>Week 8</v>
      </c>
      <c r="B96" s="33" t="s">
        <v>40</v>
      </c>
      <c r="C96" s="26" t="s">
        <v>39</v>
      </c>
      <c r="D96" s="7" t="str">
        <f>text(mid(A96,find(" ",A96)+1,2),"00")&amp;
","&amp;
ifna(text(match(vlookup(B96,'Division Placements'!$A$2:$D$13,2+quotient(row()-2,48),false),'Division Placements'!$B$16:$B$27,0),"0000"),"BYE")&amp;
","&amp;
ifna(text(match(vlookup(C96,'Division Placements'!$A$2:$D$13,2+quotient(row()-2,48),false),'Division Placements'!$B$16:$B$27,0),"0000"),"BYE")</f>
        <v>08,BYE,BYE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16" t="str">
        <f t="shared" si="1"/>
        <v>Week 8</v>
      </c>
      <c r="B97" s="33" t="s">
        <v>43</v>
      </c>
      <c r="C97" s="26" t="s">
        <v>42</v>
      </c>
      <c r="D97" s="7" t="str">
        <f>text(mid(A97,find(" ",A97)+1,2),"00")&amp;
","&amp;
ifna(text(match(vlookup(B97,'Division Placements'!$A$2:$D$13,2+quotient(row()-2,48),false),'Division Placements'!$B$16:$B$27,0),"0000"),"BYE")&amp;
","&amp;
ifna(text(match(vlookup(C97,'Division Placements'!$A$2:$D$13,2+quotient(row()-2,48),false),'Division Placements'!$B$16:$B$27,0),"0000"),"BYE")</f>
        <v>08,BYE,BYE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16" t="str">
        <f t="shared" si="1"/>
        <v>Week 9</v>
      </c>
      <c r="B98" s="18" t="s">
        <v>13</v>
      </c>
      <c r="C98" s="22" t="s">
        <v>32</v>
      </c>
      <c r="D98" s="7" t="str">
        <f>text(mid(A98,find(" ",A98)+1,2),"00")&amp;
","&amp;
ifna(text(match(vlookup(B98,'Division Placements'!$A$2:$D$13,2+quotient(row()-2,48),false),'Division Placements'!$B$16:$B$27,0),"0000"),"BYE")&amp;
","&amp;
ifna(text(match(vlookup(C98,'Division Placements'!$A$2:$D$13,2+quotient(row()-2,48),false),'Division Placements'!$B$16:$B$27,0),"0000"),"BYE")</f>
        <v>09,BYE,BYE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16" t="str">
        <f t="shared" si="1"/>
        <v>Week 9</v>
      </c>
      <c r="B99" s="18" t="s">
        <v>27</v>
      </c>
      <c r="C99" s="22" t="s">
        <v>38</v>
      </c>
      <c r="D99" s="7" t="str">
        <f>text(mid(A99,find(" ",A99)+1,2),"00")&amp;
","&amp;
ifna(text(match(vlookup(B99,'Division Placements'!$A$2:$D$13,2+quotient(row()-2,48),false),'Division Placements'!$B$16:$B$27,0),"0000"),"BYE")&amp;
","&amp;
ifna(text(match(vlookup(C99,'Division Placements'!$A$2:$D$13,2+quotient(row()-2,48),false),'Division Placements'!$B$16:$B$27,0),"0000"),"BYE")</f>
        <v>09,BYE,BYE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16" t="str">
        <f t="shared" si="1"/>
        <v>Week 9</v>
      </c>
      <c r="B100" s="18" t="s">
        <v>34</v>
      </c>
      <c r="C100" s="22" t="s">
        <v>40</v>
      </c>
      <c r="D100" s="7" t="str">
        <f>text(mid(A100,find(" ",A100)+1,2),"00")&amp;
","&amp;
ifna(text(match(vlookup(B100,'Division Placements'!$A$2:$D$13,2+quotient(row()-2,48),false),'Division Placements'!$B$16:$B$27,0),"0000"),"BYE")&amp;
","&amp;
ifna(text(match(vlookup(C100,'Division Placements'!$A$2:$D$13,2+quotient(row()-2,48),false),'Division Placements'!$B$16:$B$27,0),"0000"),"BYE")</f>
        <v>09,BYE,BYE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16" t="str">
        <f t="shared" si="1"/>
        <v>Week 9</v>
      </c>
      <c r="B101" s="18" t="s">
        <v>36</v>
      </c>
      <c r="C101" s="22" t="s">
        <v>43</v>
      </c>
      <c r="D101" s="7" t="str">
        <f>text(mid(A101,find(" ",A101)+1,2),"00")&amp;
","&amp;
ifna(text(match(vlookup(B101,'Division Placements'!$A$2:$D$13,2+quotient(row()-2,48),false),'Division Placements'!$B$16:$B$27,0),"0000"),"BYE")&amp;
","&amp;
ifna(text(match(vlookup(C101,'Division Placements'!$A$2:$D$13,2+quotient(row()-2,48),false),'Division Placements'!$B$16:$B$27,0),"0000"),"BYE")</f>
        <v>09,BYE,BYE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16" t="str">
        <f t="shared" si="1"/>
        <v>Week 9</v>
      </c>
      <c r="B102" s="18" t="s">
        <v>13</v>
      </c>
      <c r="C102" s="26" t="s">
        <v>37</v>
      </c>
      <c r="D102" s="7" t="str">
        <f>text(mid(A102,find(" ",A102)+1,2),"00")&amp;
","&amp;
ifna(text(match(vlookup(B102,'Division Placements'!$A$2:$D$13,2+quotient(row()-2,48),false),'Division Placements'!$B$16:$B$27,0),"0000"),"BYE")&amp;
","&amp;
ifna(text(match(vlookup(C102,'Division Placements'!$A$2:$D$13,2+quotient(row()-2,48),false),'Division Placements'!$B$16:$B$27,0),"0000"),"BYE")</f>
        <v>09,BYE,BYE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16" t="str">
        <f t="shared" si="1"/>
        <v>Week 9</v>
      </c>
      <c r="B103" s="18" t="s">
        <v>27</v>
      </c>
      <c r="C103" s="26" t="s">
        <v>39</v>
      </c>
      <c r="D103" s="7" t="str">
        <f>text(mid(A103,find(" ",A103)+1,2),"00")&amp;
","&amp;
ifna(text(match(vlookup(B103,'Division Placements'!$A$2:$D$13,2+quotient(row()-2,48),false),'Division Placements'!$B$16:$B$27,0),"0000"),"BYE")&amp;
","&amp;
ifna(text(match(vlookup(C103,'Division Placements'!$A$2:$D$13,2+quotient(row()-2,48),false),'Division Placements'!$B$16:$B$27,0),"0000"),"BYE")</f>
        <v>09,BYE,BYE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16" t="str">
        <f t="shared" si="1"/>
        <v>Week 9</v>
      </c>
      <c r="B104" s="18" t="s">
        <v>34</v>
      </c>
      <c r="C104" s="26" t="s">
        <v>42</v>
      </c>
      <c r="D104" s="7" t="str">
        <f>text(mid(A104,find(" ",A104)+1,2),"00")&amp;
","&amp;
ifna(text(match(vlookup(B104,'Division Placements'!$A$2:$D$13,2+quotient(row()-2,48),false),'Division Placements'!$B$16:$B$27,0),"0000"),"BYE")&amp;
","&amp;
ifna(text(match(vlookup(C104,'Division Placements'!$A$2:$D$13,2+quotient(row()-2,48),false),'Division Placements'!$B$16:$B$27,0),"0000"),"BYE")</f>
        <v>09,BYE,BYE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16" t="str">
        <f t="shared" si="1"/>
        <v>Week 9</v>
      </c>
      <c r="B105" s="18" t="s">
        <v>36</v>
      </c>
      <c r="C105" s="26" t="s">
        <v>44</v>
      </c>
      <c r="D105" s="7" t="str">
        <f>text(mid(A105,find(" ",A105)+1,2),"00")&amp;
","&amp;
ifna(text(match(vlookup(B105,'Division Placements'!$A$2:$D$13,2+quotient(row()-2,48),false),'Division Placements'!$B$16:$B$27,0),"0000"),"BYE")&amp;
","&amp;
ifna(text(match(vlookup(C105,'Division Placements'!$A$2:$D$13,2+quotient(row()-2,48),false),'Division Placements'!$B$16:$B$27,0),"0000"),"BYE")</f>
        <v>09,BYE,BYE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16" t="str">
        <f t="shared" si="1"/>
        <v>Week 9</v>
      </c>
      <c r="B106" s="33" t="s">
        <v>32</v>
      </c>
      <c r="C106" s="26" t="s">
        <v>37</v>
      </c>
      <c r="D106" s="7" t="str">
        <f>text(mid(A106,find(" ",A106)+1,2),"00")&amp;
","&amp;
ifna(text(match(vlookup(B106,'Division Placements'!$A$2:$D$13,2+quotient(row()-2,48),false),'Division Placements'!$B$16:$B$27,0),"0000"),"BYE")&amp;
","&amp;
ifna(text(match(vlookup(C106,'Division Placements'!$A$2:$D$13,2+quotient(row()-2,48),false),'Division Placements'!$B$16:$B$27,0),"0000"),"BYE")</f>
        <v>09,BYE,BYE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16" t="str">
        <f t="shared" si="1"/>
        <v>Week 9</v>
      </c>
      <c r="B107" s="33" t="s">
        <v>38</v>
      </c>
      <c r="C107" s="26" t="s">
        <v>39</v>
      </c>
      <c r="D107" s="7" t="str">
        <f>text(mid(A107,find(" ",A107)+1,2),"00")&amp;
","&amp;
ifna(text(match(vlookup(B107,'Division Placements'!$A$2:$D$13,2+quotient(row()-2,48),false),'Division Placements'!$B$16:$B$27,0),"0000"),"BYE")&amp;
","&amp;
ifna(text(match(vlookup(C107,'Division Placements'!$A$2:$D$13,2+quotient(row()-2,48),false),'Division Placements'!$B$16:$B$27,0),"0000"),"BYE")</f>
        <v>09,BYE,BYE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16" t="str">
        <f t="shared" si="1"/>
        <v>Week 9</v>
      </c>
      <c r="B108" s="33" t="s">
        <v>40</v>
      </c>
      <c r="C108" s="26" t="s">
        <v>42</v>
      </c>
      <c r="D108" s="7" t="str">
        <f>text(mid(A108,find(" ",A108)+1,2),"00")&amp;
","&amp;
ifna(text(match(vlookup(B108,'Division Placements'!$A$2:$D$13,2+quotient(row()-2,48),false),'Division Placements'!$B$16:$B$27,0),"0000"),"BYE")&amp;
","&amp;
ifna(text(match(vlookup(C108,'Division Placements'!$A$2:$D$13,2+quotient(row()-2,48),false),'Division Placements'!$B$16:$B$27,0),"0000"),"BYE")</f>
        <v>09,BYE,BYE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16" t="str">
        <f t="shared" si="1"/>
        <v>Week 9</v>
      </c>
      <c r="B109" s="33" t="s">
        <v>43</v>
      </c>
      <c r="C109" s="26" t="s">
        <v>44</v>
      </c>
      <c r="D109" s="7" t="str">
        <f>text(mid(A109,find(" ",A109)+1,2),"00")&amp;
","&amp;
ifna(text(match(vlookup(B109,'Division Placements'!$A$2:$D$13,2+quotient(row()-2,48),false),'Division Placements'!$B$16:$B$27,0),"0000"),"BYE")&amp;
","&amp;
ifna(text(match(vlookup(C109,'Division Placements'!$A$2:$D$13,2+quotient(row()-2,48),false),'Division Placements'!$B$16:$B$27,0),"0000"),"BYE")</f>
        <v>09,BYE,BYE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16" t="str">
        <f t="shared" si="1"/>
        <v>Week 10</v>
      </c>
      <c r="B110" s="18" t="s">
        <v>13</v>
      </c>
      <c r="C110" s="22" t="s">
        <v>38</v>
      </c>
      <c r="D110" s="7" t="str">
        <f>text(mid(A110,find(" ",A110)+1,2),"00")&amp;
","&amp;
ifna(text(match(vlookup(B110,'Division Placements'!$A$2:$D$13,2+quotient(row()-2,48),false),'Division Placements'!$B$16:$B$27,0),"0000"),"BYE")&amp;
","&amp;
ifna(text(match(vlookup(C110,'Division Placements'!$A$2:$D$13,2+quotient(row()-2,48),false),'Division Placements'!$B$16:$B$27,0),"0000"),"BYE")</f>
        <v>10,BYE,BYE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16" t="str">
        <f t="shared" si="1"/>
        <v>Week 10</v>
      </c>
      <c r="B111" s="18" t="s">
        <v>27</v>
      </c>
      <c r="C111" s="22" t="s">
        <v>40</v>
      </c>
      <c r="D111" s="7" t="str">
        <f>text(mid(A111,find(" ",A111)+1,2),"00")&amp;
","&amp;
ifna(text(match(vlookup(B111,'Division Placements'!$A$2:$D$13,2+quotient(row()-2,48),false),'Division Placements'!$B$16:$B$27,0),"0000"),"BYE")&amp;
","&amp;
ifna(text(match(vlookup(C111,'Division Placements'!$A$2:$D$13,2+quotient(row()-2,48),false),'Division Placements'!$B$16:$B$27,0),"0000"),"BYE")</f>
        <v>10,BYE,BYE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16" t="str">
        <f t="shared" si="1"/>
        <v>Week 10</v>
      </c>
      <c r="B112" s="18" t="s">
        <v>34</v>
      </c>
      <c r="C112" s="22" t="s">
        <v>43</v>
      </c>
      <c r="D112" s="7" t="str">
        <f>text(mid(A112,find(" ",A112)+1,2),"00")&amp;
","&amp;
ifna(text(match(vlookup(B112,'Division Placements'!$A$2:$D$13,2+quotient(row()-2,48),false),'Division Placements'!$B$16:$B$27,0),"0000"),"BYE")&amp;
","&amp;
ifna(text(match(vlookup(C112,'Division Placements'!$A$2:$D$13,2+quotient(row()-2,48),false),'Division Placements'!$B$16:$B$27,0),"0000"),"BYE")</f>
        <v>10,BYE,BYE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16" t="str">
        <f t="shared" si="1"/>
        <v>Week 10</v>
      </c>
      <c r="B113" s="18" t="s">
        <v>36</v>
      </c>
      <c r="C113" s="22" t="s">
        <v>32</v>
      </c>
      <c r="D113" s="7" t="str">
        <f>text(mid(A113,find(" ",A113)+1,2),"00")&amp;
","&amp;
ifna(text(match(vlookup(B113,'Division Placements'!$A$2:$D$13,2+quotient(row()-2,48),false),'Division Placements'!$B$16:$B$27,0),"0000"),"BYE")&amp;
","&amp;
ifna(text(match(vlookup(C113,'Division Placements'!$A$2:$D$13,2+quotient(row()-2,48),false),'Division Placements'!$B$16:$B$27,0),"0000"),"BYE")</f>
        <v>10,BYE,BYE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16" t="str">
        <f t="shared" si="1"/>
        <v>Week 10</v>
      </c>
      <c r="B114" s="18" t="s">
        <v>13</v>
      </c>
      <c r="C114" s="26" t="s">
        <v>39</v>
      </c>
      <c r="D114" s="7" t="str">
        <f>text(mid(A114,find(" ",A114)+1,2),"00")&amp;
","&amp;
ifna(text(match(vlookup(B114,'Division Placements'!$A$2:$D$13,2+quotient(row()-2,48),false),'Division Placements'!$B$16:$B$27,0),"0000"),"BYE")&amp;
","&amp;
ifna(text(match(vlookup(C114,'Division Placements'!$A$2:$D$13,2+quotient(row()-2,48),false),'Division Placements'!$B$16:$B$27,0),"0000"),"BYE")</f>
        <v>10,BYE,BYE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16" t="str">
        <f t="shared" si="1"/>
        <v>Week 10</v>
      </c>
      <c r="B115" s="18" t="s">
        <v>27</v>
      </c>
      <c r="C115" s="26" t="s">
        <v>42</v>
      </c>
      <c r="D115" s="7" t="str">
        <f>text(mid(A115,find(" ",A115)+1,2),"00")&amp;
","&amp;
ifna(text(match(vlookup(B115,'Division Placements'!$A$2:$D$13,2+quotient(row()-2,48),false),'Division Placements'!$B$16:$B$27,0),"0000"),"BYE")&amp;
","&amp;
ifna(text(match(vlookup(C115,'Division Placements'!$A$2:$D$13,2+quotient(row()-2,48),false),'Division Placements'!$B$16:$B$27,0),"0000"),"BYE")</f>
        <v>10,BYE,BYE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16" t="str">
        <f t="shared" si="1"/>
        <v>Week 10</v>
      </c>
      <c r="B116" s="18" t="s">
        <v>34</v>
      </c>
      <c r="C116" s="26" t="s">
        <v>44</v>
      </c>
      <c r="D116" s="7" t="str">
        <f>text(mid(A116,find(" ",A116)+1,2),"00")&amp;
","&amp;
ifna(text(match(vlookup(B116,'Division Placements'!$A$2:$D$13,2+quotient(row()-2,48),false),'Division Placements'!$B$16:$B$27,0),"0000"),"BYE")&amp;
","&amp;
ifna(text(match(vlookup(C116,'Division Placements'!$A$2:$D$13,2+quotient(row()-2,48),false),'Division Placements'!$B$16:$B$27,0),"0000"),"BYE")</f>
        <v>10,BYE,BYE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16" t="str">
        <f t="shared" si="1"/>
        <v>Week 10</v>
      </c>
      <c r="B117" s="18" t="s">
        <v>36</v>
      </c>
      <c r="C117" s="26" t="s">
        <v>37</v>
      </c>
      <c r="D117" s="7" t="str">
        <f>text(mid(A117,find(" ",A117)+1,2),"00")&amp;
","&amp;
ifna(text(match(vlookup(B117,'Division Placements'!$A$2:$D$13,2+quotient(row()-2,48),false),'Division Placements'!$B$16:$B$27,0),"0000"),"BYE")&amp;
","&amp;
ifna(text(match(vlookup(C117,'Division Placements'!$A$2:$D$13,2+quotient(row()-2,48),false),'Division Placements'!$B$16:$B$27,0),"0000"),"BYE")</f>
        <v>10,BYE,BYE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16" t="str">
        <f t="shared" si="1"/>
        <v>Week 10</v>
      </c>
      <c r="B118" s="33" t="s">
        <v>32</v>
      </c>
      <c r="C118" s="26" t="s">
        <v>39</v>
      </c>
      <c r="D118" s="7" t="str">
        <f>text(mid(A118,find(" ",A118)+1,2),"00")&amp;
","&amp;
ifna(text(match(vlookup(B118,'Division Placements'!$A$2:$D$13,2+quotient(row()-2,48),false),'Division Placements'!$B$16:$B$27,0),"0000"),"BYE")&amp;
","&amp;
ifna(text(match(vlookup(C118,'Division Placements'!$A$2:$D$13,2+quotient(row()-2,48),false),'Division Placements'!$B$16:$B$27,0),"0000"),"BYE")</f>
        <v>10,BYE,BYE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16" t="str">
        <f t="shared" si="1"/>
        <v>Week 10</v>
      </c>
      <c r="B119" s="33" t="s">
        <v>38</v>
      </c>
      <c r="C119" s="26" t="s">
        <v>42</v>
      </c>
      <c r="D119" s="7" t="str">
        <f>text(mid(A119,find(" ",A119)+1,2),"00")&amp;
","&amp;
ifna(text(match(vlookup(B119,'Division Placements'!$A$2:$D$13,2+quotient(row()-2,48),false),'Division Placements'!$B$16:$B$27,0),"0000"),"BYE")&amp;
","&amp;
ifna(text(match(vlookup(C119,'Division Placements'!$A$2:$D$13,2+quotient(row()-2,48),false),'Division Placements'!$B$16:$B$27,0),"0000"),"BYE")</f>
        <v>10,BYE,BYE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16" t="str">
        <f t="shared" si="1"/>
        <v>Week 10</v>
      </c>
      <c r="B120" s="33" t="s">
        <v>40</v>
      </c>
      <c r="C120" s="26" t="s">
        <v>44</v>
      </c>
      <c r="D120" s="7" t="str">
        <f>text(mid(A120,find(" ",A120)+1,2),"00")&amp;
","&amp;
ifna(text(match(vlookup(B120,'Division Placements'!$A$2:$D$13,2+quotient(row()-2,48),false),'Division Placements'!$B$16:$B$27,0),"0000"),"BYE")&amp;
","&amp;
ifna(text(match(vlookup(C120,'Division Placements'!$A$2:$D$13,2+quotient(row()-2,48),false),'Division Placements'!$B$16:$B$27,0),"0000"),"BYE")</f>
        <v>10,BYE,BYE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16" t="str">
        <f t="shared" si="1"/>
        <v>Week 10</v>
      </c>
      <c r="B121" s="33" t="s">
        <v>43</v>
      </c>
      <c r="C121" s="26" t="s">
        <v>37</v>
      </c>
      <c r="D121" s="7" t="str">
        <f>text(mid(A121,find(" ",A121)+1,2),"00")&amp;
","&amp;
ifna(text(match(vlookup(B121,'Division Placements'!$A$2:$D$13,2+quotient(row()-2,48),false),'Division Placements'!$B$16:$B$27,0),"0000"),"BYE")&amp;
","&amp;
ifna(text(match(vlookup(C121,'Division Placements'!$A$2:$D$13,2+quotient(row()-2,48),false),'Division Placements'!$B$16:$B$27,0),"0000"),"BYE")</f>
        <v>10,BYE,BYE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16" t="str">
        <f t="shared" si="1"/>
        <v>Week 11</v>
      </c>
      <c r="B122" s="18" t="s">
        <v>13</v>
      </c>
      <c r="C122" s="22" t="s">
        <v>40</v>
      </c>
      <c r="D122" s="7" t="str">
        <f>text(mid(A122,find(" ",A122)+1,2),"00")&amp;
","&amp;
ifna(text(match(vlookup(B122,'Division Placements'!$A$2:$D$13,2+quotient(row()-2,48),false),'Division Placements'!$B$16:$B$27,0),"0000"),"BYE")&amp;
","&amp;
ifna(text(match(vlookup(C122,'Division Placements'!$A$2:$D$13,2+quotient(row()-2,48),false),'Division Placements'!$B$16:$B$27,0),"0000"),"BYE")</f>
        <v>11,BYE,BYE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16" t="str">
        <f t="shared" si="1"/>
        <v>Week 11</v>
      </c>
      <c r="B123" s="18" t="s">
        <v>27</v>
      </c>
      <c r="C123" s="22" t="s">
        <v>43</v>
      </c>
      <c r="D123" s="7" t="str">
        <f>text(mid(A123,find(" ",A123)+1,2),"00")&amp;
","&amp;
ifna(text(match(vlookup(B123,'Division Placements'!$A$2:$D$13,2+quotient(row()-2,48),false),'Division Placements'!$B$16:$B$27,0),"0000"),"BYE")&amp;
","&amp;
ifna(text(match(vlookup(C123,'Division Placements'!$A$2:$D$13,2+quotient(row()-2,48),false),'Division Placements'!$B$16:$B$27,0),"0000"),"BYE")</f>
        <v>11,BYE,BYE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16" t="str">
        <f t="shared" si="1"/>
        <v>Week 11</v>
      </c>
      <c r="B124" s="18" t="s">
        <v>34</v>
      </c>
      <c r="C124" s="22" t="s">
        <v>32</v>
      </c>
      <c r="D124" s="7" t="str">
        <f>text(mid(A124,find(" ",A124)+1,2),"00")&amp;
","&amp;
ifna(text(match(vlookup(B124,'Division Placements'!$A$2:$D$13,2+quotient(row()-2,48),false),'Division Placements'!$B$16:$B$27,0),"0000"),"BYE")&amp;
","&amp;
ifna(text(match(vlookup(C124,'Division Placements'!$A$2:$D$13,2+quotient(row()-2,48),false),'Division Placements'!$B$16:$B$27,0),"0000"),"BYE")</f>
        <v>11,BYE,BYE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16" t="str">
        <f t="shared" si="1"/>
        <v>Week 11</v>
      </c>
      <c r="B125" s="18" t="s">
        <v>36</v>
      </c>
      <c r="C125" s="22" t="s">
        <v>38</v>
      </c>
      <c r="D125" s="7" t="str">
        <f>text(mid(A125,find(" ",A125)+1,2),"00")&amp;
","&amp;
ifna(text(match(vlookup(B125,'Division Placements'!$A$2:$D$13,2+quotient(row()-2,48),false),'Division Placements'!$B$16:$B$27,0),"0000"),"BYE")&amp;
","&amp;
ifna(text(match(vlookup(C125,'Division Placements'!$A$2:$D$13,2+quotient(row()-2,48),false),'Division Placements'!$B$16:$B$27,0),"0000"),"BYE")</f>
        <v>11,BYE,BYE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16" t="str">
        <f t="shared" si="1"/>
        <v>Week 11</v>
      </c>
      <c r="B126" s="18" t="s">
        <v>13</v>
      </c>
      <c r="C126" s="26" t="s">
        <v>42</v>
      </c>
      <c r="D126" s="7" t="str">
        <f>text(mid(A126,find(" ",A126)+1,2),"00")&amp;
","&amp;
ifna(text(match(vlookup(B126,'Division Placements'!$A$2:$D$13,2+quotient(row()-2,48),false),'Division Placements'!$B$16:$B$27,0),"0000"),"BYE")&amp;
","&amp;
ifna(text(match(vlookup(C126,'Division Placements'!$A$2:$D$13,2+quotient(row()-2,48),false),'Division Placements'!$B$16:$B$27,0),"0000"),"BYE")</f>
        <v>11,BYE,BYE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16" t="str">
        <f t="shared" si="1"/>
        <v>Week 11</v>
      </c>
      <c r="B127" s="18" t="s">
        <v>27</v>
      </c>
      <c r="C127" s="26" t="s">
        <v>44</v>
      </c>
      <c r="D127" s="7" t="str">
        <f>text(mid(A127,find(" ",A127)+1,2),"00")&amp;
","&amp;
ifna(text(match(vlookup(B127,'Division Placements'!$A$2:$D$13,2+quotient(row()-2,48),false),'Division Placements'!$B$16:$B$27,0),"0000"),"BYE")&amp;
","&amp;
ifna(text(match(vlookup(C127,'Division Placements'!$A$2:$D$13,2+quotient(row()-2,48),false),'Division Placements'!$B$16:$B$27,0),"0000"),"BYE")</f>
        <v>11,BYE,BYE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16" t="str">
        <f t="shared" si="1"/>
        <v>Week 11</v>
      </c>
      <c r="B128" s="18" t="s">
        <v>34</v>
      </c>
      <c r="C128" s="26" t="s">
        <v>37</v>
      </c>
      <c r="D128" s="7" t="str">
        <f>text(mid(A128,find(" ",A128)+1,2),"00")&amp;
","&amp;
ifna(text(match(vlookup(B128,'Division Placements'!$A$2:$D$13,2+quotient(row()-2,48),false),'Division Placements'!$B$16:$B$27,0),"0000"),"BYE")&amp;
","&amp;
ifna(text(match(vlookup(C128,'Division Placements'!$A$2:$D$13,2+quotient(row()-2,48),false),'Division Placements'!$B$16:$B$27,0),"0000"),"BYE")</f>
        <v>11,BYE,BYE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16" t="str">
        <f t="shared" si="1"/>
        <v>Week 11</v>
      </c>
      <c r="B129" s="18" t="s">
        <v>36</v>
      </c>
      <c r="C129" s="26" t="s">
        <v>39</v>
      </c>
      <c r="D129" s="7" t="str">
        <f>text(mid(A129,find(" ",A129)+1,2),"00")&amp;
","&amp;
ifna(text(match(vlookup(B129,'Division Placements'!$A$2:$D$13,2+quotient(row()-2,48),false),'Division Placements'!$B$16:$B$27,0),"0000"),"BYE")&amp;
","&amp;
ifna(text(match(vlookup(C129,'Division Placements'!$A$2:$D$13,2+quotient(row()-2,48),false),'Division Placements'!$B$16:$B$27,0),"0000"),"BYE")</f>
        <v>11,BYE,BYE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16" t="str">
        <f t="shared" si="1"/>
        <v>Week 11</v>
      </c>
      <c r="B130" s="33" t="s">
        <v>32</v>
      </c>
      <c r="C130" s="26" t="s">
        <v>42</v>
      </c>
      <c r="D130" s="7" t="str">
        <f>text(mid(A130,find(" ",A130)+1,2),"00")&amp;
","&amp;
ifna(text(match(vlookup(B130,'Division Placements'!$A$2:$D$13,2+quotient(row()-2,48),false),'Division Placements'!$B$16:$B$27,0),"0000"),"BYE")&amp;
","&amp;
ifna(text(match(vlookup(C130,'Division Placements'!$A$2:$D$13,2+quotient(row()-2,48),false),'Division Placements'!$B$16:$B$27,0),"0000"),"BYE")</f>
        <v>11,BYE,BYE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16" t="str">
        <f t="shared" si="1"/>
        <v>Week 11</v>
      </c>
      <c r="B131" s="33" t="s">
        <v>38</v>
      </c>
      <c r="C131" s="26" t="s">
        <v>44</v>
      </c>
      <c r="D131" s="7" t="str">
        <f>text(mid(A131,find(" ",A131)+1,2),"00")&amp;
","&amp;
ifna(text(match(vlookup(B131,'Division Placements'!$A$2:$D$13,2+quotient(row()-2,48),false),'Division Placements'!$B$16:$B$27,0),"0000"),"BYE")&amp;
","&amp;
ifna(text(match(vlookup(C131,'Division Placements'!$A$2:$D$13,2+quotient(row()-2,48),false),'Division Placements'!$B$16:$B$27,0),"0000"),"BYE")</f>
        <v>11,BYE,BYE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16" t="str">
        <f t="shared" si="1"/>
        <v>Week 11</v>
      </c>
      <c r="B132" s="33" t="s">
        <v>40</v>
      </c>
      <c r="C132" s="26" t="s">
        <v>37</v>
      </c>
      <c r="D132" s="7" t="str">
        <f>text(mid(A132,find(" ",A132)+1,2),"00")&amp;
","&amp;
ifna(text(match(vlookup(B132,'Division Placements'!$A$2:$D$13,2+quotient(row()-2,48),false),'Division Placements'!$B$16:$B$27,0),"0000"),"BYE")&amp;
","&amp;
ifna(text(match(vlookup(C132,'Division Placements'!$A$2:$D$13,2+quotient(row()-2,48),false),'Division Placements'!$B$16:$B$27,0),"0000"),"BYE")</f>
        <v>11,BYE,BYE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16" t="str">
        <f t="shared" si="1"/>
        <v>Week 11</v>
      </c>
      <c r="B133" s="33" t="s">
        <v>43</v>
      </c>
      <c r="C133" s="26" t="s">
        <v>39</v>
      </c>
      <c r="D133" s="7" t="str">
        <f>text(mid(A133,find(" ",A133)+1,2),"00")&amp;
","&amp;
ifna(text(match(vlookup(B133,'Division Placements'!$A$2:$D$13,2+quotient(row()-2,48),false),'Division Placements'!$B$16:$B$27,0),"0000"),"BYE")&amp;
","&amp;
ifna(text(match(vlookup(C133,'Division Placements'!$A$2:$D$13,2+quotient(row()-2,48),false),'Division Placements'!$B$16:$B$27,0),"0000"),"BYE")</f>
        <v>11,BYE,BYE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16" t="str">
        <f t="shared" si="1"/>
        <v>Week 12</v>
      </c>
      <c r="B134" s="18" t="s">
        <v>13</v>
      </c>
      <c r="C134" s="22" t="s">
        <v>43</v>
      </c>
      <c r="D134" s="7" t="str">
        <f>text(mid(A134,find(" ",A134)+1,2),"00")&amp;
","&amp;
ifna(text(match(vlookup(B134,'Division Placements'!$A$2:$D$13,2+quotient(row()-2,48),false),'Division Placements'!$B$16:$B$27,0),"0000"),"BYE")&amp;
","&amp;
ifna(text(match(vlookup(C134,'Division Placements'!$A$2:$D$13,2+quotient(row()-2,48),false),'Division Placements'!$B$16:$B$27,0),"0000"),"BYE")</f>
        <v>12,BYE,BYE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16" t="str">
        <f t="shared" si="1"/>
        <v>Week 12</v>
      </c>
      <c r="B135" s="18" t="s">
        <v>27</v>
      </c>
      <c r="C135" s="22" t="s">
        <v>32</v>
      </c>
      <c r="D135" s="7" t="str">
        <f>text(mid(A135,find(" ",A135)+1,2),"00")&amp;
","&amp;
ifna(text(match(vlookup(B135,'Division Placements'!$A$2:$D$13,2+quotient(row()-2,48),false),'Division Placements'!$B$16:$B$27,0),"0000"),"BYE")&amp;
","&amp;
ifna(text(match(vlookup(C135,'Division Placements'!$A$2:$D$13,2+quotient(row()-2,48),false),'Division Placements'!$B$16:$B$27,0),"0000"),"BYE")</f>
        <v>12,BYE,BYE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16" t="str">
        <f t="shared" si="1"/>
        <v>Week 12</v>
      </c>
      <c r="B136" s="18" t="s">
        <v>34</v>
      </c>
      <c r="C136" s="22" t="s">
        <v>38</v>
      </c>
      <c r="D136" s="7" t="str">
        <f>text(mid(A136,find(" ",A136)+1,2),"00")&amp;
","&amp;
ifna(text(match(vlookup(B136,'Division Placements'!$A$2:$D$13,2+quotient(row()-2,48),false),'Division Placements'!$B$16:$B$27,0),"0000"),"BYE")&amp;
","&amp;
ifna(text(match(vlookup(C136,'Division Placements'!$A$2:$D$13,2+quotient(row()-2,48),false),'Division Placements'!$B$16:$B$27,0),"0000"),"BYE")</f>
        <v>12,BYE,BYE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16" t="str">
        <f t="shared" si="1"/>
        <v>Week 12</v>
      </c>
      <c r="B137" s="18" t="s">
        <v>36</v>
      </c>
      <c r="C137" s="22" t="s">
        <v>40</v>
      </c>
      <c r="D137" s="7" t="str">
        <f>text(mid(A137,find(" ",A137)+1,2),"00")&amp;
","&amp;
ifna(text(match(vlookup(B137,'Division Placements'!$A$2:$D$13,2+quotient(row()-2,48),false),'Division Placements'!$B$16:$B$27,0),"0000"),"BYE")&amp;
","&amp;
ifna(text(match(vlookup(C137,'Division Placements'!$A$2:$D$13,2+quotient(row()-2,48),false),'Division Placements'!$B$16:$B$27,0),"0000"),"BYE")</f>
        <v>12,BYE,BYE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16" t="str">
        <f t="shared" si="1"/>
        <v>Week 12</v>
      </c>
      <c r="B138" s="18" t="s">
        <v>13</v>
      </c>
      <c r="C138" s="26" t="s">
        <v>44</v>
      </c>
      <c r="D138" s="7" t="str">
        <f>text(mid(A138,find(" ",A138)+1,2),"00")&amp;
","&amp;
ifna(text(match(vlookup(B138,'Division Placements'!$A$2:$D$13,2+quotient(row()-2,48),false),'Division Placements'!$B$16:$B$27,0),"0000"),"BYE")&amp;
","&amp;
ifna(text(match(vlookup(C138,'Division Placements'!$A$2:$D$13,2+quotient(row()-2,48),false),'Division Placements'!$B$16:$B$27,0),"0000"),"BYE")</f>
        <v>12,BYE,BYE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16" t="str">
        <f t="shared" si="1"/>
        <v>Week 12</v>
      </c>
      <c r="B139" s="18" t="s">
        <v>27</v>
      </c>
      <c r="C139" s="26" t="s">
        <v>37</v>
      </c>
      <c r="D139" s="7" t="str">
        <f>text(mid(A139,find(" ",A139)+1,2),"00")&amp;
","&amp;
ifna(text(match(vlookup(B139,'Division Placements'!$A$2:$D$13,2+quotient(row()-2,48),false),'Division Placements'!$B$16:$B$27,0),"0000"),"BYE")&amp;
","&amp;
ifna(text(match(vlookup(C139,'Division Placements'!$A$2:$D$13,2+quotient(row()-2,48),false),'Division Placements'!$B$16:$B$27,0),"0000"),"BYE")</f>
        <v>12,BYE,BYE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16" t="str">
        <f t="shared" si="1"/>
        <v>Week 12</v>
      </c>
      <c r="B140" s="18" t="s">
        <v>34</v>
      </c>
      <c r="C140" s="26" t="s">
        <v>39</v>
      </c>
      <c r="D140" s="7" t="str">
        <f>text(mid(A140,find(" ",A140)+1,2),"00")&amp;
","&amp;
ifna(text(match(vlookup(B140,'Division Placements'!$A$2:$D$13,2+quotient(row()-2,48),false),'Division Placements'!$B$16:$B$27,0),"0000"),"BYE")&amp;
","&amp;
ifna(text(match(vlookup(C140,'Division Placements'!$A$2:$D$13,2+quotient(row()-2,48),false),'Division Placements'!$B$16:$B$27,0),"0000"),"BYE")</f>
        <v>12,BYE,BYE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16" t="str">
        <f t="shared" si="1"/>
        <v>Week 12</v>
      </c>
      <c r="B141" s="18" t="s">
        <v>36</v>
      </c>
      <c r="C141" s="26" t="s">
        <v>42</v>
      </c>
      <c r="D141" s="7" t="str">
        <f>text(mid(A141,find(" ",A141)+1,2),"00")&amp;
","&amp;
ifna(text(match(vlookup(B141,'Division Placements'!$A$2:$D$13,2+quotient(row()-2,48),false),'Division Placements'!$B$16:$B$27,0),"0000"),"BYE")&amp;
","&amp;
ifna(text(match(vlookup(C141,'Division Placements'!$A$2:$D$13,2+quotient(row()-2,48),false),'Division Placements'!$B$16:$B$27,0),"0000"),"BYE")</f>
        <v>12,BYE,BYE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16" t="str">
        <f t="shared" si="1"/>
        <v>Week 12</v>
      </c>
      <c r="B142" s="33" t="s">
        <v>32</v>
      </c>
      <c r="C142" s="26" t="s">
        <v>44</v>
      </c>
      <c r="D142" s="7" t="str">
        <f>text(mid(A142,find(" ",A142)+1,2),"00")&amp;
","&amp;
ifna(text(match(vlookup(B142,'Division Placements'!$A$2:$D$13,2+quotient(row()-2,48),false),'Division Placements'!$B$16:$B$27,0),"0000"),"BYE")&amp;
","&amp;
ifna(text(match(vlookup(C142,'Division Placements'!$A$2:$D$13,2+quotient(row()-2,48),false),'Division Placements'!$B$16:$B$27,0),"0000"),"BYE")</f>
        <v>12,BYE,BYE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16" t="str">
        <f t="shared" si="1"/>
        <v>Week 12</v>
      </c>
      <c r="B143" s="33" t="s">
        <v>38</v>
      </c>
      <c r="C143" s="26" t="s">
        <v>37</v>
      </c>
      <c r="D143" s="7" t="str">
        <f>text(mid(A143,find(" ",A143)+1,2),"00")&amp;
","&amp;
ifna(text(match(vlookup(B143,'Division Placements'!$A$2:$D$13,2+quotient(row()-2,48),false),'Division Placements'!$B$16:$B$27,0),"0000"),"BYE")&amp;
","&amp;
ifna(text(match(vlookup(C143,'Division Placements'!$A$2:$D$13,2+quotient(row()-2,48),false),'Division Placements'!$B$16:$B$27,0),"0000"),"BYE")</f>
        <v>12,BYE,BYE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16" t="str">
        <f t="shared" si="1"/>
        <v>Week 12</v>
      </c>
      <c r="B144" s="33" t="s">
        <v>40</v>
      </c>
      <c r="C144" s="26" t="s">
        <v>39</v>
      </c>
      <c r="D144" s="7" t="str">
        <f>text(mid(A144,find(" ",A144)+1,2),"00")&amp;
","&amp;
ifna(text(match(vlookup(B144,'Division Placements'!$A$2:$D$13,2+quotient(row()-2,48),false),'Division Placements'!$B$16:$B$27,0),"0000"),"BYE")&amp;
","&amp;
ifna(text(match(vlookup(C144,'Division Placements'!$A$2:$D$13,2+quotient(row()-2,48),false),'Division Placements'!$B$16:$B$27,0),"0000"),"BYE")</f>
        <v>12,BYE,BYE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16" t="str">
        <f t="shared" si="1"/>
        <v>Week 12</v>
      </c>
      <c r="B145" s="33" t="s">
        <v>43</v>
      </c>
      <c r="C145" s="26" t="s">
        <v>42</v>
      </c>
      <c r="D145" s="7" t="str">
        <f>text(mid(A145,find(" ",A145)+1,2),"00")&amp;
","&amp;
ifna(text(match(vlookup(B145,'Division Placements'!$A$2:$D$13,2+quotient(row()-2,48),false),'Division Placements'!$B$16:$B$27,0),"0000"),"BYE")&amp;
","&amp;
ifna(text(match(vlookup(C145,'Division Placements'!$A$2:$D$13,2+quotient(row()-2,48),false),'Division Placements'!$B$16:$B$27,0),"0000"),"BYE")</f>
        <v>12,BYE,BYE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16" t="str">
        <f t="shared" si="1"/>
        <v>Week 13</v>
      </c>
      <c r="B146" s="7"/>
      <c r="D146" s="7" t="str">
        <f t="shared" ref="D146:D193" si="2">text(mid(A146,find(" ",A146)+1,2),"00")&amp;",BYE,BYE"</f>
        <v>13,BYE,BYE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16" t="str">
        <f t="shared" si="1"/>
        <v>Week 13</v>
      </c>
      <c r="B147" s="7"/>
      <c r="D147" s="7" t="str">
        <f t="shared" si="2"/>
        <v>13,BYE,BYE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16" t="str">
        <f t="shared" si="1"/>
        <v>Week 13</v>
      </c>
      <c r="B148" s="7"/>
      <c r="D148" s="7" t="str">
        <f t="shared" si="2"/>
        <v>13,BYE,BYE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16" t="str">
        <f t="shared" si="1"/>
        <v>Week 13</v>
      </c>
      <c r="B149" s="7"/>
      <c r="D149" s="7" t="str">
        <f t="shared" si="2"/>
        <v>13,BYE,BYE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16" t="str">
        <f t="shared" si="1"/>
        <v>Week 13</v>
      </c>
      <c r="B150" s="7"/>
      <c r="D150" s="7" t="str">
        <f t="shared" si="2"/>
        <v>13,BYE,BYE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16" t="str">
        <f t="shared" si="1"/>
        <v>Week 13</v>
      </c>
      <c r="B151" s="7"/>
      <c r="D151" s="7" t="str">
        <f t="shared" si="2"/>
        <v>13,BYE,BYE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16" t="str">
        <f t="shared" si="1"/>
        <v>Week 13</v>
      </c>
      <c r="B152" s="7"/>
      <c r="D152" s="7" t="str">
        <f t="shared" si="2"/>
        <v>13,BYE,BYE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16" t="str">
        <f t="shared" si="1"/>
        <v>Week 13</v>
      </c>
      <c r="B153" s="7"/>
      <c r="D153" s="7" t="str">
        <f t="shared" si="2"/>
        <v>13,BYE,BYE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16" t="str">
        <f t="shared" si="1"/>
        <v>Week 13</v>
      </c>
      <c r="B154" s="7"/>
      <c r="D154" s="7" t="str">
        <f t="shared" si="2"/>
        <v>13,BYE,BYE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16" t="str">
        <f t="shared" si="1"/>
        <v>Week 13</v>
      </c>
      <c r="B155" s="7"/>
      <c r="D155" s="7" t="str">
        <f t="shared" si="2"/>
        <v>13,BYE,BYE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16" t="str">
        <f t="shared" si="1"/>
        <v>Week 13</v>
      </c>
      <c r="B156" s="7"/>
      <c r="D156" s="7" t="str">
        <f t="shared" si="2"/>
        <v>13,BYE,BYE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16" t="str">
        <f t="shared" si="1"/>
        <v>Week 13</v>
      </c>
      <c r="B157" s="7"/>
      <c r="D157" s="7" t="str">
        <f t="shared" si="2"/>
        <v>13,BYE,BYE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16" t="str">
        <f t="shared" si="1"/>
        <v>Week 14</v>
      </c>
      <c r="B158" s="7"/>
      <c r="D158" s="7" t="str">
        <f t="shared" si="2"/>
        <v>14,BYE,BYE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16" t="str">
        <f t="shared" si="1"/>
        <v>Week 14</v>
      </c>
      <c r="B159" s="7"/>
      <c r="D159" s="7" t="str">
        <f t="shared" si="2"/>
        <v>14,BYE,BYE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16" t="str">
        <f t="shared" si="1"/>
        <v>Week 14</v>
      </c>
      <c r="B160" s="7"/>
      <c r="D160" s="7" t="str">
        <f t="shared" si="2"/>
        <v>14,BYE,BYE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16" t="str">
        <f t="shared" si="1"/>
        <v>Week 14</v>
      </c>
      <c r="B161" s="7"/>
      <c r="D161" s="7" t="str">
        <f t="shared" si="2"/>
        <v>14,BYE,BYE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16" t="str">
        <f t="shared" si="1"/>
        <v>Week 14</v>
      </c>
      <c r="B162" s="7"/>
      <c r="D162" s="7" t="str">
        <f t="shared" si="2"/>
        <v>14,BYE,BYE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16" t="str">
        <f t="shared" si="1"/>
        <v>Week 14</v>
      </c>
      <c r="B163" s="7"/>
      <c r="D163" s="7" t="str">
        <f t="shared" si="2"/>
        <v>14,BYE,BYE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16" t="str">
        <f t="shared" si="1"/>
        <v>Week 14</v>
      </c>
      <c r="B164" s="7"/>
      <c r="D164" s="7" t="str">
        <f t="shared" si="2"/>
        <v>14,BYE,BYE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16" t="str">
        <f t="shared" si="1"/>
        <v>Week 14</v>
      </c>
      <c r="B165" s="7"/>
      <c r="D165" s="7" t="str">
        <f t="shared" si="2"/>
        <v>14,BYE,BYE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16" t="str">
        <f t="shared" si="1"/>
        <v>Week 14</v>
      </c>
      <c r="B166" s="7"/>
      <c r="D166" s="7" t="str">
        <f t="shared" si="2"/>
        <v>14,BYE,BYE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16" t="str">
        <f t="shared" si="1"/>
        <v>Week 14</v>
      </c>
      <c r="B167" s="7"/>
      <c r="D167" s="7" t="str">
        <f t="shared" si="2"/>
        <v>14,BYE,BYE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16" t="str">
        <f t="shared" si="1"/>
        <v>Week 14</v>
      </c>
      <c r="B168" s="7"/>
      <c r="D168" s="7" t="str">
        <f t="shared" si="2"/>
        <v>14,BYE,BYE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16" t="str">
        <f t="shared" si="1"/>
        <v>Week 14</v>
      </c>
      <c r="B169" s="7"/>
      <c r="D169" s="7" t="str">
        <f t="shared" si="2"/>
        <v>14,BYE,BYE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16" t="str">
        <f t="shared" si="1"/>
        <v>Week 15</v>
      </c>
      <c r="B170" s="7"/>
      <c r="D170" s="7" t="str">
        <f t="shared" si="2"/>
        <v>15,BYE,BYE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16" t="str">
        <f t="shared" si="1"/>
        <v>Week 15</v>
      </c>
      <c r="B171" s="7"/>
      <c r="D171" s="7" t="str">
        <f t="shared" si="2"/>
        <v>15,BYE,BYE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16" t="str">
        <f t="shared" si="1"/>
        <v>Week 15</v>
      </c>
      <c r="B172" s="7"/>
      <c r="D172" s="7" t="str">
        <f t="shared" si="2"/>
        <v>15,BYE,BYE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16" t="str">
        <f t="shared" si="1"/>
        <v>Week 15</v>
      </c>
      <c r="B173" s="7"/>
      <c r="D173" s="7" t="str">
        <f t="shared" si="2"/>
        <v>15,BYE,BYE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16" t="str">
        <f t="shared" si="1"/>
        <v>Week 15</v>
      </c>
      <c r="B174" s="7"/>
      <c r="D174" s="7" t="str">
        <f t="shared" si="2"/>
        <v>15,BYE,BYE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16" t="str">
        <f t="shared" si="1"/>
        <v>Week 15</v>
      </c>
      <c r="B175" s="7"/>
      <c r="D175" s="7" t="str">
        <f t="shared" si="2"/>
        <v>15,BYE,BYE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16" t="str">
        <f t="shared" si="1"/>
        <v>Week 15</v>
      </c>
      <c r="B176" s="7"/>
      <c r="D176" s="7" t="str">
        <f t="shared" si="2"/>
        <v>15,BYE,BYE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16" t="str">
        <f t="shared" si="1"/>
        <v>Week 15</v>
      </c>
      <c r="B177" s="7"/>
      <c r="D177" s="7" t="str">
        <f t="shared" si="2"/>
        <v>15,BYE,BYE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16" t="str">
        <f t="shared" si="1"/>
        <v>Week 15</v>
      </c>
      <c r="B178" s="7"/>
      <c r="D178" s="7" t="str">
        <f t="shared" si="2"/>
        <v>15,BYE,BYE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16" t="str">
        <f t="shared" si="1"/>
        <v>Week 15</v>
      </c>
      <c r="B179" s="7"/>
      <c r="D179" s="7" t="str">
        <f t="shared" si="2"/>
        <v>15,BYE,BYE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16" t="str">
        <f t="shared" si="1"/>
        <v>Week 15</v>
      </c>
      <c r="B180" s="7"/>
      <c r="D180" s="7" t="str">
        <f t="shared" si="2"/>
        <v>15,BYE,BYE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16" t="str">
        <f t="shared" si="1"/>
        <v>Week 15</v>
      </c>
      <c r="B181" s="7"/>
      <c r="D181" s="7" t="str">
        <f t="shared" si="2"/>
        <v>15,BYE,BYE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16" t="str">
        <f t="shared" si="1"/>
        <v>Week 16</v>
      </c>
      <c r="B182" s="7"/>
      <c r="D182" s="7" t="str">
        <f t="shared" si="2"/>
        <v>16,BYE,BYE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16" t="str">
        <f t="shared" si="1"/>
        <v>Week 16</v>
      </c>
      <c r="B183" s="7"/>
      <c r="D183" s="7" t="str">
        <f t="shared" si="2"/>
        <v>16,BYE,BYE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16" t="str">
        <f t="shared" si="1"/>
        <v>Week 16</v>
      </c>
      <c r="B184" s="7"/>
      <c r="D184" s="7" t="str">
        <f t="shared" si="2"/>
        <v>16,BYE,BYE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16" t="str">
        <f t="shared" si="1"/>
        <v>Week 16</v>
      </c>
      <c r="B185" s="7"/>
      <c r="D185" s="7" t="str">
        <f t="shared" si="2"/>
        <v>16,BYE,BYE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16" t="str">
        <f t="shared" si="1"/>
        <v>Week 16</v>
      </c>
      <c r="B186" s="7"/>
      <c r="D186" s="7" t="str">
        <f t="shared" si="2"/>
        <v>16,BYE,BYE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16" t="str">
        <f t="shared" si="1"/>
        <v>Week 16</v>
      </c>
      <c r="B187" s="7"/>
      <c r="D187" s="7" t="str">
        <f t="shared" si="2"/>
        <v>16,BYE,BYE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16" t="str">
        <f t="shared" si="1"/>
        <v>Week 16</v>
      </c>
      <c r="B188" s="7"/>
      <c r="D188" s="7" t="str">
        <f t="shared" si="2"/>
        <v>16,BYE,BYE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16" t="str">
        <f t="shared" si="1"/>
        <v>Week 16</v>
      </c>
      <c r="B189" s="7"/>
      <c r="D189" s="7" t="str">
        <f t="shared" si="2"/>
        <v>16,BYE,BYE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16" t="str">
        <f t="shared" si="1"/>
        <v>Week 16</v>
      </c>
      <c r="B190" s="7"/>
      <c r="D190" s="7" t="str">
        <f t="shared" si="2"/>
        <v>16,BYE,BYE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16" t="str">
        <f t="shared" si="1"/>
        <v>Week 16</v>
      </c>
      <c r="B191" s="7"/>
      <c r="D191" s="7" t="str">
        <f t="shared" si="2"/>
        <v>16,BYE,BYE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16" t="str">
        <f t="shared" si="1"/>
        <v>Week 16</v>
      </c>
      <c r="B192" s="7"/>
      <c r="D192" s="7" t="str">
        <f t="shared" si="2"/>
        <v>16,BYE,BYE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16" t="str">
        <f t="shared" si="1"/>
        <v>Week 16</v>
      </c>
      <c r="B193" s="7"/>
      <c r="D193" s="7" t="str">
        <f t="shared" si="2"/>
        <v>16,BYE,BYE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16"/>
      <c r="B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16"/>
      <c r="B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16"/>
      <c r="B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16"/>
      <c r="B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16"/>
      <c r="B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16"/>
      <c r="B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16"/>
      <c r="B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16"/>
      <c r="B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16"/>
      <c r="B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16"/>
      <c r="B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16"/>
      <c r="B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16"/>
      <c r="B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16"/>
      <c r="B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16"/>
      <c r="B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16"/>
      <c r="B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16"/>
      <c r="B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16"/>
      <c r="B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16"/>
      <c r="B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16"/>
      <c r="B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16"/>
      <c r="B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16"/>
      <c r="B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16"/>
      <c r="B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16"/>
      <c r="B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16"/>
      <c r="B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16"/>
      <c r="B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16"/>
      <c r="B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16"/>
      <c r="B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16"/>
      <c r="B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16"/>
      <c r="B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16"/>
      <c r="B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16"/>
      <c r="B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16"/>
      <c r="B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16"/>
      <c r="B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16"/>
      <c r="B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16"/>
      <c r="B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16"/>
      <c r="B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16"/>
      <c r="B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16"/>
      <c r="B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16"/>
      <c r="B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16"/>
      <c r="B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16"/>
      <c r="B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16"/>
      <c r="B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16"/>
      <c r="B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16"/>
      <c r="B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16"/>
      <c r="B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16"/>
      <c r="B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16"/>
      <c r="B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16"/>
      <c r="B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16"/>
      <c r="B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16"/>
      <c r="B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16"/>
      <c r="B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16"/>
      <c r="B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16"/>
      <c r="B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16"/>
      <c r="B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16"/>
      <c r="B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16"/>
      <c r="B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16"/>
      <c r="B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16"/>
      <c r="B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16"/>
      <c r="B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16"/>
      <c r="B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16"/>
      <c r="B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16"/>
      <c r="B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16"/>
      <c r="B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16"/>
      <c r="B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16"/>
      <c r="B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16"/>
      <c r="B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16"/>
      <c r="B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16"/>
      <c r="B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16"/>
      <c r="B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16"/>
      <c r="B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16"/>
      <c r="B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16"/>
      <c r="B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16"/>
      <c r="B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16"/>
      <c r="B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16"/>
      <c r="B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16"/>
      <c r="B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16"/>
      <c r="B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16"/>
      <c r="B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16"/>
      <c r="B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16"/>
      <c r="B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16"/>
      <c r="B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16"/>
      <c r="B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16"/>
      <c r="B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16"/>
      <c r="B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16"/>
      <c r="B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16"/>
      <c r="B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16"/>
      <c r="B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16"/>
      <c r="B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4" width="19.38"/>
  </cols>
  <sheetData>
    <row r="1">
      <c r="B1" s="6" t="s">
        <v>2</v>
      </c>
      <c r="C1" s="8" t="s">
        <v>7</v>
      </c>
      <c r="D1" s="9" t="s">
        <v>10</v>
      </c>
    </row>
    <row r="2">
      <c r="A2" s="11" t="s">
        <v>13</v>
      </c>
      <c r="B2" s="12" t="s">
        <v>19</v>
      </c>
      <c r="C2" s="13" t="s">
        <v>22</v>
      </c>
      <c r="D2" s="14"/>
    </row>
    <row r="3">
      <c r="A3" s="15" t="s">
        <v>27</v>
      </c>
      <c r="B3" s="17" t="s">
        <v>22</v>
      </c>
      <c r="C3" s="20" t="s">
        <v>31</v>
      </c>
      <c r="D3" s="23"/>
    </row>
    <row r="4">
      <c r="A4" s="15" t="s">
        <v>34</v>
      </c>
      <c r="B4" s="17" t="s">
        <v>31</v>
      </c>
      <c r="C4" s="20" t="s">
        <v>35</v>
      </c>
      <c r="D4" s="23"/>
    </row>
    <row r="5">
      <c r="A5" s="25" t="s">
        <v>36</v>
      </c>
      <c r="B5" s="27" t="s">
        <v>35</v>
      </c>
      <c r="C5" s="28" t="s">
        <v>41</v>
      </c>
      <c r="D5" s="29"/>
    </row>
    <row r="6">
      <c r="A6" s="11" t="s">
        <v>32</v>
      </c>
      <c r="B6" s="12" t="s">
        <v>45</v>
      </c>
      <c r="C6" s="13" t="s">
        <v>19</v>
      </c>
      <c r="D6" s="14"/>
    </row>
    <row r="7">
      <c r="A7" s="15" t="s">
        <v>38</v>
      </c>
      <c r="B7" s="17" t="s">
        <v>46</v>
      </c>
      <c r="C7" s="20" t="s">
        <v>46</v>
      </c>
      <c r="D7" s="23"/>
    </row>
    <row r="8">
      <c r="A8" s="15" t="s">
        <v>40</v>
      </c>
      <c r="B8" s="17" t="s">
        <v>41</v>
      </c>
      <c r="C8" s="20" t="s">
        <v>45</v>
      </c>
      <c r="D8" s="23"/>
    </row>
    <row r="9">
      <c r="A9" s="25" t="s">
        <v>43</v>
      </c>
      <c r="B9" s="27" t="s">
        <v>47</v>
      </c>
      <c r="C9" s="28" t="s">
        <v>48</v>
      </c>
      <c r="D9" s="29"/>
    </row>
    <row r="10">
      <c r="A10" s="11" t="s">
        <v>37</v>
      </c>
      <c r="B10" s="12" t="s">
        <v>48</v>
      </c>
      <c r="C10" s="13" t="s">
        <v>47</v>
      </c>
      <c r="D10" s="14"/>
    </row>
    <row r="11">
      <c r="A11" s="15" t="s">
        <v>39</v>
      </c>
      <c r="B11" s="17" t="s">
        <v>49</v>
      </c>
      <c r="C11" s="20" t="s">
        <v>50</v>
      </c>
      <c r="D11" s="23"/>
    </row>
    <row r="12">
      <c r="A12" s="15" t="s">
        <v>42</v>
      </c>
      <c r="B12" s="17" t="s">
        <v>51</v>
      </c>
      <c r="C12" s="20" t="s">
        <v>49</v>
      </c>
      <c r="D12" s="23"/>
    </row>
    <row r="13">
      <c r="A13" s="25" t="s">
        <v>44</v>
      </c>
      <c r="B13" s="27" t="s">
        <v>50</v>
      </c>
      <c r="C13" s="28" t="s">
        <v>51</v>
      </c>
      <c r="D13" s="29"/>
    </row>
    <row r="15">
      <c r="B15" s="31" t="str">
        <f>IFERROR(__xludf.DUMMYFUNCTION("importhtml(""https://www42.myfantasyleague.com/""&amp;year(today())&amp;""/reports?L=63213&amp;R=FSUMMARY"",""table"",2)"),"Loading...")</f>
        <v>Loading...</v>
      </c>
    </row>
    <row r="16">
      <c r="A16" s="4">
        <v>1.0</v>
      </c>
    </row>
    <row r="17">
      <c r="A17" s="4">
        <v>2.0</v>
      </c>
    </row>
    <row r="18">
      <c r="A18" s="4">
        <v>3.0</v>
      </c>
    </row>
    <row r="19">
      <c r="A19" s="4">
        <v>4.0</v>
      </c>
    </row>
    <row r="20">
      <c r="A20" s="4">
        <v>5.0</v>
      </c>
    </row>
    <row r="21">
      <c r="A21" s="4">
        <v>6.0</v>
      </c>
    </row>
    <row r="22">
      <c r="A22" s="4">
        <v>7.0</v>
      </c>
    </row>
    <row r="23">
      <c r="A23" s="4">
        <v>8.0</v>
      </c>
    </row>
    <row r="24">
      <c r="A24" s="4">
        <v>9.0</v>
      </c>
    </row>
    <row r="25">
      <c r="A25" s="4">
        <v>10.0</v>
      </c>
    </row>
    <row r="26">
      <c r="A26" s="4">
        <v>11.0</v>
      </c>
    </row>
    <row r="27">
      <c r="A27" s="4">
        <v>12.0</v>
      </c>
    </row>
  </sheetData>
  <drawing r:id="rId1"/>
</worksheet>
</file>